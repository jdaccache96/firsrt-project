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D272C609-87CA-5A14-B04D-65DF03BDDAF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immysmacbookpro/Documents/"/>
    </mc:Choice>
  </mc:AlternateContent>
  <xr:revisionPtr revIDLastSave="0" documentId="13_ncr:1_{54E321DA-AD5F-AA41-AD92-0D74873A411A}" xr6:coauthVersionLast="47" xr6:coauthVersionMax="47" xr10:uidLastSave="{00000000-0000-0000-0000-000000000000}"/>
  <bookViews>
    <workbookView xWindow="0" yWindow="500" windowWidth="28800" windowHeight="16280" activeTab="1" xr2:uid="{C5D79F55-D7D1-DF4D-B57A-D3C02700497A}"/>
  </bookViews>
  <sheets>
    <sheet name="POSITION" sheetId="6" r:id="rId1"/>
    <sheet name="BUYS" sheetId="5" r:id="rId2"/>
    <sheet name="SALES" sheetId="4" r:id="rId3"/>
    <sheet name="FINANCES" sheetId="2" r:id="rId4"/>
  </sheets>
  <functionGroups builtInGroupCount="19"/>
  <definedNames>
    <definedName name="_xlnm._FilterDatabase" localSheetId="2" hidden="1">SALES!$A$1:$J$76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04" i="4" l="1"/>
  <c r="D101" i="4"/>
  <c r="F13" i="5"/>
  <c r="G13" i="5" s="1"/>
  <c r="F14" i="5"/>
  <c r="G14" i="5" s="1"/>
  <c r="I13" i="5"/>
  <c r="I14" i="5"/>
  <c r="D103" i="4"/>
  <c r="D102" i="4"/>
  <c r="E14" i="5"/>
  <c r="D100" i="4"/>
  <c r="D99" i="4"/>
  <c r="E13" i="5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E12" i="5"/>
  <c r="F12" i="5"/>
  <c r="G12" i="5" s="1"/>
  <c r="I12" i="5"/>
  <c r="D83" i="4"/>
  <c r="D82" i="4"/>
  <c r="D81" i="4"/>
  <c r="D80" i="4"/>
  <c r="D79" i="4"/>
  <c r="E79" i="4" s="1" a="1"/>
  <c r="E79" i="4" s="1"/>
  <c r="F79" i="4" s="1"/>
  <c r="E76" i="4" a="1"/>
  <c r="E76" i="4" s="1"/>
  <c r="F76" i="4" s="1"/>
  <c r="D78" i="4"/>
  <c r="D77" i="4"/>
  <c r="D76" i="4"/>
  <c r="D75" i="4"/>
  <c r="D74" i="4"/>
  <c r="D73" i="4"/>
  <c r="E11" i="5"/>
  <c r="F11" i="5"/>
  <c r="G11" i="5" s="1"/>
  <c r="I11" i="5"/>
  <c r="D72" i="4"/>
  <c r="E72" i="4" s="1" a="1"/>
  <c r="E72" i="4" s="1"/>
  <c r="F72" i="4" s="1"/>
  <c r="D71" i="4"/>
  <c r="E71" i="4" s="1" a="1"/>
  <c r="E71" i="4" s="1"/>
  <c r="F71" i="4" s="1"/>
  <c r="D70" i="4"/>
  <c r="E70" i="4" s="1" a="1"/>
  <c r="E70" i="4" s="1"/>
  <c r="F70" i="4" s="1"/>
  <c r="I10" i="5"/>
  <c r="F10" i="5"/>
  <c r="G10" i="5" s="1"/>
  <c r="E10" i="5"/>
  <c r="D69" i="4"/>
  <c r="E69" i="4" s="1" a="1"/>
  <c r="E69" i="4" s="1"/>
  <c r="F69" i="4" s="1"/>
  <c r="D68" i="4"/>
  <c r="E68" i="4" s="1" a="1"/>
  <c r="E68" i="4" s="1"/>
  <c r="F68" i="4" s="1"/>
  <c r="D67" i="4"/>
  <c r="E67" i="4" s="1" a="1"/>
  <c r="E67" i="4" s="1"/>
  <c r="F67" i="4" s="1"/>
  <c r="D66" i="4"/>
  <c r="E66" i="4" s="1" a="1"/>
  <c r="E66" i="4" s="1"/>
  <c r="F66" i="4" s="1"/>
  <c r="D65" i="4"/>
  <c r="E65" i="4" s="1" a="1"/>
  <c r="E65" i="4" s="1"/>
  <c r="F65" i="4" s="1"/>
  <c r="D64" i="4"/>
  <c r="E64" i="4" s="1" a="1"/>
  <c r="E64" i="4" s="1"/>
  <c r="F64" i="4" s="1"/>
  <c r="D63" i="4"/>
  <c r="E63" i="4" s="1" a="1"/>
  <c r="E63" i="4" s="1"/>
  <c r="F63" i="4" s="1"/>
  <c r="D62" i="4"/>
  <c r="E62" i="4" s="1" a="1"/>
  <c r="E62" i="4" s="1"/>
  <c r="F62" i="4" s="1"/>
  <c r="D61" i="4"/>
  <c r="E61" i="4" s="1" a="1"/>
  <c r="E61" i="4" s="1"/>
  <c r="F61" i="4" s="1"/>
  <c r="D60" i="4"/>
  <c r="E60" i="4" s="1" a="1"/>
  <c r="E60" i="4" s="1"/>
  <c r="F60" i="4" s="1"/>
  <c r="D59" i="4"/>
  <c r="E59" i="4" s="1" a="1"/>
  <c r="E59" i="4" s="1"/>
  <c r="F59" i="4" s="1"/>
  <c r="I9" i="5"/>
  <c r="F9" i="5"/>
  <c r="G9" i="5" s="1"/>
  <c r="E9" i="5"/>
  <c r="D58" i="4"/>
  <c r="E58" i="4" s="1" a="1"/>
  <c r="E58" i="4" s="1"/>
  <c r="D57" i="4"/>
  <c r="E57" i="4" s="1" a="1"/>
  <c r="E57" i="4" s="1"/>
  <c r="D56" i="4"/>
  <c r="E56" i="4" s="1" a="1"/>
  <c r="E56" i="4" s="1"/>
  <c r="D55" i="4"/>
  <c r="E55" i="4" s="1" a="1"/>
  <c r="E55" i="4" s="1"/>
  <c r="D54" i="4"/>
  <c r="E54" i="4" s="1" a="1"/>
  <c r="E54" i="4" s="1"/>
  <c r="D53" i="4"/>
  <c r="E53" i="4" s="1" a="1"/>
  <c r="E53" i="4" s="1"/>
  <c r="D52" i="4"/>
  <c r="E52" i="4" s="1" a="1"/>
  <c r="E52" i="4" s="1"/>
  <c r="D51" i="4"/>
  <c r="E51" i="4" s="1" a="1"/>
  <c r="E51" i="4" s="1"/>
  <c r="C5" i="6"/>
  <c r="B5" i="6"/>
  <c r="I3" i="5"/>
  <c r="I4" i="5"/>
  <c r="I5" i="5"/>
  <c r="I6" i="5"/>
  <c r="I7" i="5"/>
  <c r="B9" i="6" s="1"/>
  <c r="I8" i="5"/>
  <c r="C9" i="6" s="1"/>
  <c r="I2" i="5"/>
  <c r="F3" i="5"/>
  <c r="G3" i="5" s="1"/>
  <c r="F4" i="5"/>
  <c r="G4" i="5" s="1"/>
  <c r="F5" i="5"/>
  <c r="G5" i="5" s="1"/>
  <c r="F6" i="5"/>
  <c r="G6" i="5" s="1"/>
  <c r="F7" i="5"/>
  <c r="B6" i="6" s="1"/>
  <c r="F8" i="5"/>
  <c r="G8" i="5" s="1"/>
  <c r="F2" i="5"/>
  <c r="G2" i="5" s="1"/>
  <c r="E8" i="5"/>
  <c r="E7" i="5"/>
  <c r="D7" i="5"/>
  <c r="E6" i="5"/>
  <c r="E5" i="5"/>
  <c r="E4" i="5"/>
  <c r="E3" i="5"/>
  <c r="E2" i="5"/>
  <c r="D50" i="4"/>
  <c r="E50" i="4" s="1" a="1"/>
  <c r="E50" i="4" s="1"/>
  <c r="D49" i="4"/>
  <c r="E49" i="4" s="1" a="1"/>
  <c r="E49" i="4" s="1"/>
  <c r="D48" i="4"/>
  <c r="E48" i="4" s="1" a="1"/>
  <c r="E48" i="4" s="1"/>
  <c r="D47" i="4"/>
  <c r="E47" i="4" s="1" a="1"/>
  <c r="E47" i="4" s="1"/>
  <c r="D46" i="4"/>
  <c r="E46" i="4" s="1" a="1"/>
  <c r="E46" i="4" s="1"/>
  <c r="D45" i="4"/>
  <c r="E45" i="4" s="1" a="1"/>
  <c r="E45" i="4" s="1"/>
  <c r="D44" i="4"/>
  <c r="E44" i="4" s="1" a="1"/>
  <c r="E44" i="4" s="1"/>
  <c r="D43" i="4"/>
  <c r="E43" i="4" s="1" a="1"/>
  <c r="E43" i="4" s="1"/>
  <c r="D42" i="4"/>
  <c r="E42" i="4" s="1" a="1"/>
  <c r="E42" i="4" s="1"/>
  <c r="D41" i="4"/>
  <c r="E41" i="4" s="1" a="1"/>
  <c r="E41" i="4" s="1"/>
  <c r="D40" i="4"/>
  <c r="E40" i="4" s="1" a="1"/>
  <c r="E40" i="4" s="1"/>
  <c r="D39" i="4"/>
  <c r="E39" i="4" s="1" a="1"/>
  <c r="E39" i="4" s="1"/>
  <c r="D38" i="4"/>
  <c r="E38" i="4" s="1" a="1"/>
  <c r="E38" i="4" s="1"/>
  <c r="D37" i="4"/>
  <c r="E37" i="4" s="1" a="1"/>
  <c r="E37" i="4" s="1"/>
  <c r="D36" i="4"/>
  <c r="E36" i="4" s="1" a="1"/>
  <c r="E36" i="4" s="1"/>
  <c r="D35" i="4"/>
  <c r="E35" i="4" s="1" a="1"/>
  <c r="E35" i="4" s="1"/>
  <c r="D34" i="4"/>
  <c r="E34" i="4" s="1" a="1"/>
  <c r="E34" i="4" s="1"/>
  <c r="D33" i="4"/>
  <c r="E33" i="4" s="1" a="1"/>
  <c r="E33" i="4" s="1"/>
  <c r="D32" i="4"/>
  <c r="E32" i="4" s="1" a="1"/>
  <c r="E32" i="4" s="1"/>
  <c r="D31" i="4"/>
  <c r="E31" i="4" s="1" a="1"/>
  <c r="E31" i="4" s="1"/>
  <c r="D30" i="4"/>
  <c r="E30" i="4" s="1" a="1"/>
  <c r="E30" i="4" s="1"/>
  <c r="D29" i="4"/>
  <c r="E29" i="4" s="1" a="1"/>
  <c r="E29" i="4" s="1"/>
  <c r="D28" i="4"/>
  <c r="E28" i="4" s="1" a="1"/>
  <c r="E28" i="4" s="1"/>
  <c r="D27" i="4"/>
  <c r="E27" i="4" s="1" a="1"/>
  <c r="E27" i="4" s="1"/>
  <c r="D26" i="4"/>
  <c r="E26" i="4" s="1" a="1"/>
  <c r="E26" i="4" s="1"/>
  <c r="D25" i="4"/>
  <c r="E25" i="4" s="1" a="1"/>
  <c r="E25" i="4" s="1"/>
  <c r="D24" i="4"/>
  <c r="E24" i="4" s="1" a="1"/>
  <c r="E24" i="4" s="1"/>
  <c r="D23" i="4"/>
  <c r="E23" i="4" s="1" a="1"/>
  <c r="E23" i="4" s="1"/>
  <c r="D22" i="4"/>
  <c r="E22" i="4" s="1" a="1"/>
  <c r="E22" i="4" s="1"/>
  <c r="D21" i="4"/>
  <c r="E21" i="4" s="1" a="1"/>
  <c r="E21" i="4" s="1"/>
  <c r="D20" i="4"/>
  <c r="E20" i="4" s="1" a="1"/>
  <c r="E20" i="4" s="1"/>
  <c r="D19" i="4"/>
  <c r="E19" i="4" s="1" a="1"/>
  <c r="E19" i="4" s="1"/>
  <c r="D18" i="4"/>
  <c r="E18" i="4" s="1" a="1"/>
  <c r="E18" i="4" s="1"/>
  <c r="D17" i="4"/>
  <c r="E17" i="4" s="1" a="1"/>
  <c r="E17" i="4" s="1"/>
  <c r="D16" i="4"/>
  <c r="E16" i="4" s="1" a="1"/>
  <c r="E16" i="4" s="1"/>
  <c r="D15" i="4"/>
  <c r="E15" i="4" s="1" a="1"/>
  <c r="E15" i="4" s="1"/>
  <c r="D14" i="4"/>
  <c r="E14" i="4" s="1" a="1"/>
  <c r="E14" i="4" s="1"/>
  <c r="D13" i="4"/>
  <c r="E13" i="4" s="1" a="1"/>
  <c r="E13" i="4" s="1"/>
  <c r="D12" i="4"/>
  <c r="E12" i="4" s="1" a="1"/>
  <c r="E12" i="4" s="1"/>
  <c r="D11" i="4"/>
  <c r="E11" i="4" s="1" a="1"/>
  <c r="E11" i="4" s="1"/>
  <c r="D10" i="4"/>
  <c r="E10" i="4" s="1" a="1"/>
  <c r="E10" i="4" s="1"/>
  <c r="D9" i="4"/>
  <c r="E9" i="4" s="1" a="1"/>
  <c r="E9" i="4" s="1"/>
  <c r="D8" i="4"/>
  <c r="E8" i="4" s="1" a="1"/>
  <c r="E8" i="4" s="1"/>
  <c r="D7" i="4"/>
  <c r="E7" i="4" s="1" a="1"/>
  <c r="E7" i="4" s="1"/>
  <c r="D6" i="4"/>
  <c r="E6" i="4" s="1" a="1"/>
  <c r="E6" i="4" s="1"/>
  <c r="D5" i="4"/>
  <c r="E5" i="4" s="1" a="1"/>
  <c r="E5" i="4" s="1"/>
  <c r="D4" i="4"/>
  <c r="E4" i="4" s="1" a="1"/>
  <c r="E4" i="4" s="1"/>
  <c r="D3" i="4"/>
  <c r="E3" i="4" s="1" a="1"/>
  <c r="E3" i="4" s="1"/>
  <c r="D2" i="4"/>
  <c r="E2" i="4" s="1" a="1"/>
  <c r="E2" i="4" s="1"/>
  <c r="F58" i="4" l="1"/>
  <c r="F53" i="4"/>
  <c r="F57" i="4"/>
  <c r="F8" i="4"/>
  <c r="F12" i="4"/>
  <c r="F16" i="4"/>
  <c r="F20" i="4"/>
  <c r="F28" i="4"/>
  <c r="F36" i="4"/>
  <c r="F44" i="4"/>
  <c r="F51" i="4"/>
  <c r="F54" i="4"/>
  <c r="F56" i="4"/>
  <c r="F52" i="4"/>
  <c r="F55" i="4"/>
  <c r="B3" i="6"/>
  <c r="F1" i="6"/>
  <c r="C6" i="6"/>
  <c r="C7" i="6" s="1"/>
  <c r="B7" i="6"/>
  <c r="G7" i="5"/>
  <c r="F32" i="4"/>
  <c r="F6" i="4"/>
  <c r="F14" i="4"/>
  <c r="F18" i="4"/>
  <c r="F26" i="4"/>
  <c r="F30" i="4"/>
  <c r="F34" i="4"/>
  <c r="F38" i="4"/>
  <c r="F42" i="4"/>
  <c r="F50" i="4"/>
  <c r="F3" i="4"/>
  <c r="F7" i="4"/>
  <c r="F11" i="4"/>
  <c r="F15" i="4"/>
  <c r="F19" i="4"/>
  <c r="F23" i="4"/>
  <c r="F27" i="4"/>
  <c r="F31" i="4"/>
  <c r="F35" i="4"/>
  <c r="F39" i="4"/>
  <c r="F43" i="4"/>
  <c r="F47" i="4"/>
  <c r="F24" i="4"/>
  <c r="F40" i="4"/>
  <c r="F5" i="4"/>
  <c r="F9" i="4"/>
  <c r="F13" i="4"/>
  <c r="F17" i="4"/>
  <c r="F21" i="4"/>
  <c r="F25" i="4"/>
  <c r="F29" i="4"/>
  <c r="F33" i="4"/>
  <c r="F37" i="4"/>
  <c r="F41" i="4"/>
  <c r="F45" i="4"/>
  <c r="F49" i="4"/>
  <c r="F4" i="4"/>
  <c r="F48" i="4"/>
  <c r="F10" i="4"/>
  <c r="F22" i="4"/>
  <c r="F46" i="4"/>
  <c r="F2" i="4"/>
  <c r="C11" i="2"/>
  <c r="C10" i="2"/>
  <c r="C9" i="2"/>
  <c r="B1" i="2"/>
  <c r="B8" i="6" l="1"/>
  <c r="C8" i="6"/>
  <c r="C6" i="2"/>
  <c r="C7" i="2" s="1"/>
  <c r="B8" i="2"/>
  <c r="D8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<sst xmlns="http://schemas.openxmlformats.org/spreadsheetml/2006/main" count="368" uniqueCount="86">
  <si>
    <t>Customer</t>
  </si>
  <si>
    <t>Jack</t>
  </si>
  <si>
    <t>Rob</t>
  </si>
  <si>
    <t xml:space="preserve">Quantity </t>
  </si>
  <si>
    <t>$$$</t>
  </si>
  <si>
    <t>Profit</t>
  </si>
  <si>
    <t>Buys</t>
  </si>
  <si>
    <t>Buy in Amount</t>
  </si>
  <si>
    <t>Payment Method</t>
  </si>
  <si>
    <t>Cash</t>
  </si>
  <si>
    <t>Venmo</t>
  </si>
  <si>
    <t>Money</t>
  </si>
  <si>
    <t>Cashapp</t>
  </si>
  <si>
    <t>Checking</t>
  </si>
  <si>
    <t>Credit Cards</t>
  </si>
  <si>
    <t>Wells Fargo</t>
  </si>
  <si>
    <t>Discover</t>
  </si>
  <si>
    <t>Credit Limit</t>
  </si>
  <si>
    <t>Credit Available</t>
  </si>
  <si>
    <t>Credit Card Expense</t>
  </si>
  <si>
    <t>Kohls</t>
  </si>
  <si>
    <t>Balance</t>
  </si>
  <si>
    <t>Ava</t>
  </si>
  <si>
    <t>Chris's Girlfriend's Friend</t>
  </si>
  <si>
    <t>Marley</t>
  </si>
  <si>
    <t>G's Purchased</t>
  </si>
  <si>
    <t xml:space="preserve">G's Sold </t>
  </si>
  <si>
    <t>Chelsea</t>
  </si>
  <si>
    <t>Bud/Wax</t>
  </si>
  <si>
    <t>Bud</t>
  </si>
  <si>
    <t>Wax</t>
  </si>
  <si>
    <t>Disc Golf</t>
  </si>
  <si>
    <t>WAX</t>
  </si>
  <si>
    <t>Buy-In</t>
  </si>
  <si>
    <t>BUD</t>
  </si>
  <si>
    <t>Tori</t>
  </si>
  <si>
    <t>Johnnie</t>
  </si>
  <si>
    <t>Schronce</t>
  </si>
  <si>
    <t>Patrick</t>
  </si>
  <si>
    <t>Uncle Joe</t>
  </si>
  <si>
    <t>G's Left</t>
  </si>
  <si>
    <t>Potential Profit</t>
  </si>
  <si>
    <t>Veero</t>
  </si>
  <si>
    <t xml:space="preserve">Ryan </t>
  </si>
  <si>
    <t>Haley</t>
  </si>
  <si>
    <t>Average G</t>
  </si>
  <si>
    <t>Average G Price</t>
  </si>
  <si>
    <t>Average G Profit</t>
  </si>
  <si>
    <t>Purchase Date</t>
  </si>
  <si>
    <t>T Mike</t>
  </si>
  <si>
    <t>Bhris Baughn</t>
  </si>
  <si>
    <t>Zelle</t>
  </si>
  <si>
    <t>Enya</t>
  </si>
  <si>
    <t>Chelsey</t>
  </si>
  <si>
    <t>Potential Income</t>
  </si>
  <si>
    <t>Drushal</t>
  </si>
  <si>
    <t>Alfonso</t>
  </si>
  <si>
    <t>Chris Vaughn</t>
  </si>
  <si>
    <t>CURRENT BUY</t>
  </si>
  <si>
    <t>DATE</t>
  </si>
  <si>
    <t>G'S PURCHASED</t>
  </si>
  <si>
    <t>G'S SOLD</t>
  </si>
  <si>
    <t>G'S LEFT</t>
  </si>
  <si>
    <t>POTENTIAL INCOME</t>
  </si>
  <si>
    <t>AVERAGE G PRICE</t>
  </si>
  <si>
    <t>CURRENT PROFIT</t>
  </si>
  <si>
    <t xml:space="preserve">TOTAL NET </t>
  </si>
  <si>
    <t>Kaitlyn</t>
  </si>
  <si>
    <t xml:space="preserve">                                      </t>
  </si>
  <si>
    <t>T-Mike</t>
  </si>
  <si>
    <t>Frankie</t>
  </si>
  <si>
    <t>Morgan Enya's Friend</t>
  </si>
  <si>
    <t>Random</t>
  </si>
  <si>
    <t>Rachel's UNC Friend</t>
  </si>
  <si>
    <t>Jack Ryan's Friend</t>
  </si>
  <si>
    <t>Julia</t>
  </si>
  <si>
    <t>Morgan Work</t>
  </si>
  <si>
    <t>Jack Yungblood</t>
  </si>
  <si>
    <t>f</t>
  </si>
  <si>
    <t>Carlos</t>
  </si>
  <si>
    <t>NA</t>
  </si>
  <si>
    <t>Alex</t>
  </si>
  <si>
    <t>Luke</t>
  </si>
  <si>
    <t>Enya's Friend</t>
  </si>
  <si>
    <t>Clay</t>
  </si>
  <si>
    <t>Morgan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</si>
</sst>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</numFmts>
  <fonts count="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7030A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6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43" fontId="3" fillId="2" borderId="0" xfId="1" applyNumberFormat="1" applyFont="1" applyFill="1" applyAlignment="1">
      <alignment horizontal="center" vertical="center"/>
    </xf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43" fontId="3" fillId="0" borderId="0" xfId="1" applyNumberFormat="1" applyFont="1" applyAlignment="1">
      <alignment horizontal="right"/>
    </xf>
    <xf numFmtId="14" fontId="3" fillId="0" borderId="0" xfId="0" applyNumberFormat="1" applyFont="1" applyAlignment="1">
      <alignment horizontal="right"/>
    </xf>
    <xf numFmtId="164" fontId="3" fillId="0" borderId="0" xfId="1" applyNumberFormat="1" applyFont="1" applyAlignment="1">
      <alignment horizontal="right"/>
    </xf>
    <xf numFmtId="43" fontId="0" fillId="0" borderId="0" xfId="1" applyNumberFormat="1" applyFont="1" applyAlignment="1">
      <alignment horizontal="center" vertical="center"/>
    </xf>
    <xf numFmtId="0" fontId="2" fillId="5" borderId="0" xfId="0" applyFont="1" applyFill="1" applyAlignment="1">
      <alignment horizontal="right"/>
    </xf>
    <xf numFmtId="14" fontId="2" fillId="5" borderId="0" xfId="0" applyNumberFormat="1" applyFont="1" applyFill="1" applyAlignment="1">
      <alignment horizontal="right"/>
    </xf>
    <xf numFmtId="14" fontId="3" fillId="0" borderId="0" xfId="0" applyNumberFormat="1" applyFont="1" applyFill="1" applyAlignment="1">
      <alignment horizontal="right"/>
    </xf>
    <xf numFmtId="0" fontId="2" fillId="4" borderId="0" xfId="0" applyFont="1" applyFill="1" applyAlignment="1">
      <alignment horizontal="left" vertical="top"/>
    </xf>
    <xf numFmtId="0" fontId="0" fillId="0" borderId="0" xfId="0" applyAlignment="1">
      <alignment horizontal="left" vertical="top"/>
    </xf>
    <xf numFmtId="0" fontId="3" fillId="0" borderId="0" xfId="0" applyFont="1" applyAlignment="1">
      <alignment horizontal="left" vertical="top"/>
    </xf>
    <xf numFmtId="0" fontId="2" fillId="7" borderId="0" xfId="0" applyFont="1" applyFill="1" applyAlignment="1">
      <alignment horizontal="left" vertical="top"/>
    </xf>
    <xf numFmtId="164" fontId="2" fillId="0" borderId="0" xfId="1" applyNumberFormat="1" applyFont="1" applyFill="1" applyAlignment="1">
      <alignment horizontal="right"/>
    </xf>
    <xf numFmtId="0" fontId="2" fillId="8" borderId="0" xfId="0" applyFont="1" applyFill="1" applyAlignment="1">
      <alignment horizontal="right"/>
    </xf>
    <xf numFmtId="164" fontId="0" fillId="0" borderId="0" xfId="0" applyNumberFormat="1" applyAlignment="1">
      <alignment horizontal="right"/>
    </xf>
    <xf numFmtId="14" fontId="3" fillId="0" borderId="0" xfId="0" quotePrefix="1" applyNumberFormat="1" applyFont="1" applyAlignment="1">
      <alignment horizontal="center" vertical="center"/>
    </xf>
    <xf numFmtId="43" fontId="3" fillId="0" borderId="0" xfId="1" applyFont="1" applyAlignment="1">
      <alignment horizontal="left" vertical="top"/>
    </xf>
    <xf numFmtId="14" fontId="3" fillId="0" borderId="0" xfId="0" applyNumberFormat="1" applyFont="1" applyAlignment="1">
      <alignment horizontal="left" vertical="top"/>
    </xf>
    <xf numFmtId="164" fontId="3" fillId="0" borderId="0" xfId="1" applyNumberFormat="1" applyFont="1" applyAlignment="1">
      <alignment horizontal="left" vertical="top"/>
    </xf>
    <xf numFmtId="165" fontId="3" fillId="0" borderId="0" xfId="1" applyNumberFormat="1" applyFont="1" applyAlignment="1">
      <alignment horizontal="left" vertical="top"/>
    </xf>
    <xf numFmtId="43" fontId="2" fillId="3" borderId="0" xfId="1" applyNumberFormat="1" applyFont="1" applyFill="1" applyAlignment="1">
      <alignment horizontal="left" vertical="top"/>
    </xf>
    <xf numFmtId="43" fontId="3" fillId="0" borderId="0" xfId="1" applyNumberFormat="1" applyFont="1" applyFill="1" applyAlignment="1">
      <alignment horizontal="left" vertical="top"/>
    </xf>
    <xf numFmtId="43" fontId="3" fillId="0" borderId="0" xfId="0" applyNumberFormat="1" applyFont="1" applyAlignment="1">
      <alignment horizontal="left" vertical="top"/>
    </xf>
    <xf numFmtId="43" fontId="3" fillId="0" borderId="0" xfId="1" applyNumberFormat="1" applyFont="1" applyAlignment="1">
      <alignment horizontal="left" vertical="top"/>
    </xf>
    <xf numFmtId="43" fontId="2" fillId="0" borderId="0" xfId="1" applyNumberFormat="1" applyFont="1" applyFill="1" applyAlignment="1">
      <alignment horizontal="left" vertical="top"/>
    </xf>
  </cellXfs>
  <cellStyles count="2">
    <cellStyle name="Comma" xfId="1" builtinId="3"/>
    <cellStyle name="Normal" xfId="0" builtinId="0"/>
  </cellStyles>
  <dxfs count="2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DEE13-5189-AE48-8058-9F2DF4D77ACA}">
  <sheetPr codeName="Sheet4"/>
  <dimension ref="A1:F14"/>
  <sheetViews>
    <sheetView workbookViewId="0">
      <selection activeCell="E17" sqref="E17"/>
    </sheetView>
  </sheetViews>
  <sheetFormatPr baseColWidth="10" defaultRowHeight="16" x14ac:dyDescent="0.2"/>
  <cols>
    <col min="1" max="1" width="17.83203125" style="21" bestFit="1" customWidth="1"/>
    <col min="2" max="16384" width="10.83203125" style="12"/>
  </cols>
  <sheetData>
    <row r="1" spans="1:6" x14ac:dyDescent="0.2">
      <c r="A1" s="23" t="s">
        <v>58</v>
      </c>
      <c r="E1" s="25" t="s">
        <v>66</v>
      </c>
      <c r="F1" s="12">
        <f>SUM(BUYS!I:I)</f>
        <v>1079</v>
      </c>
    </row>
    <row r="2" spans="1:6" x14ac:dyDescent="0.2">
      <c r="B2" s="17" t="s">
        <v>34</v>
      </c>
      <c r="C2" s="18" t="s">
        <v>32</v>
      </c>
    </row>
    <row r="3" spans="1:6" x14ac:dyDescent="0.2">
      <c r="A3" s="22" t="s">
        <v>64</v>
      </c>
      <c r="B3" s="13">
        <f>AVERAGEIF(SALES!$H:$H,POSITION!B2,SALES!$D:$D)</f>
        <v>9.0154697346745198</v>
      </c>
      <c r="C3" s="13" t="s">
        <v>78</v>
      </c>
    </row>
    <row r="4" spans="1:6" x14ac:dyDescent="0.2">
      <c r="A4" s="22" t="s">
        <v>59</v>
      </c>
      <c r="B4" s="14">
        <v>44453</v>
      </c>
      <c r="C4" s="19">
        <v>44466</v>
      </c>
    </row>
    <row r="5" spans="1:6" x14ac:dyDescent="0.2">
      <c r="A5" s="22" t="s">
        <v>60</v>
      </c>
      <c r="B5" s="11">
        <f>SUMIF(BUYS!$A:$A,POSITION!B4,BUYS!$D:$D)</f>
        <v>168</v>
      </c>
      <c r="C5" s="11">
        <f>SUMIF(BUYS!$A:$A,POSITION!C4,BUYS!$D:$D)</f>
        <v>28</v>
      </c>
    </row>
    <row r="6" spans="1:6" x14ac:dyDescent="0.2">
      <c r="A6" s="22" t="s">
        <v>61</v>
      </c>
      <c r="B6" s="11">
        <f>SUMIF(BUYS!$A:$A,POSITION!B4,BUYS!$F:$F)</f>
        <v>151</v>
      </c>
      <c r="C6" s="11">
        <f>SUMIF(BUYS!$A:$A,POSITION!C4,BUYS!$F:$F)</f>
        <v>19.8</v>
      </c>
    </row>
    <row r="7" spans="1:6" x14ac:dyDescent="0.2">
      <c r="A7" s="22" t="s">
        <v>62</v>
      </c>
      <c r="B7" s="11">
        <f>B5-B6</f>
        <v>17</v>
      </c>
      <c r="C7" s="11">
        <f>C5-C6</f>
        <v>8.1999999999999993</v>
      </c>
    </row>
    <row r="8" spans="1:6" x14ac:dyDescent="0.2">
      <c r="A8" s="22" t="s">
        <v>63</v>
      </c>
      <c r="B8" s="15">
        <f>B7*B3</f>
        <v>153.26298548946684</v>
      </c>
      <c r="C8" s="15" t="e">
        <f>C7*C3</f>
        <v>#VALUE!</v>
      </c>
      <c r="D8" s="26" t="e">
        <f>SUM(B8:C8)</f>
        <v>#VALUE!</v>
      </c>
    </row>
    <row r="9" spans="1:6" x14ac:dyDescent="0.2">
      <c r="A9" s="20" t="s">
        <v>65</v>
      </c>
      <c r="B9" s="24">
        <f>SUMIF(BUYS!$A:$A,POSITION!B4,BUYS!$I:$I)</f>
        <v>160</v>
      </c>
      <c r="C9" s="24">
        <f>SUMIF(BUYS!$A:$A,POSITION!C4,BUYS!$I:$I)</f>
        <v>115</v>
      </c>
    </row>
    <row r="14" spans="1:6" x14ac:dyDescent="0.2">
      <c r="F14" s="12" t="s">
        <v>68</v>
      </c>
    </row>
  </sheetData>
  <conditionalFormatting sqref="B9:C9">
    <cfRule type="cellIs" dxfId="1" priority="1" operator="greaterThan">
      <formula>0</formula>
    </cfRule>
    <cfRule type="cellIs" dxfId="0" priority="2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F5E59-1A14-C94C-A3C0-7E6C10178B0B}">
  <sheetPr codeName="Sheet1"/>
  <dimension ref="A1:I18"/>
  <sheetViews>
    <sheetView tabSelected="1" workbookViewId="0">
      <selection activeCell="H22" sqref="H22"/>
    </sheetView>
  </sheetViews>
  <sheetFormatPr baseColWidth="10" defaultRowHeight="16" x14ac:dyDescent="0.2"/>
  <cols>
    <col min="1" max="1" width="8.83203125" style="21" bestFit="1" customWidth="1"/>
    <col min="2" max="2" width="9" style="21" bestFit="1" customWidth="1"/>
    <col min="3" max="3" width="13.33203125" style="21" bestFit="1" customWidth="1"/>
    <col min="4" max="4" width="12.6640625" style="21" bestFit="1" customWidth="1"/>
    <col min="5" max="5" width="9.83203125" style="21" bestFit="1" customWidth="1"/>
    <col min="6" max="6" width="8.33203125" style="21" bestFit="1" customWidth="1"/>
    <col min="7" max="7" width="8.83203125" style="21" bestFit="1" customWidth="1"/>
    <col min="8" max="8" width="13.5" style="21" bestFit="1" customWidth="1"/>
    <col min="9" max="9" width="7" style="21" bestFit="1" customWidth="1"/>
    <col min="10" max="16384" width="10.83203125" style="1"/>
  </cols>
  <sheetData>
    <row r="1" spans="1:9" x14ac:dyDescent="0.2">
      <c r="A1" s="7" t="s">
        <v>6</v>
      </c>
      <c r="B1" s="7" t="s">
        <v>28</v>
      </c>
      <c r="C1" s="7" t="s">
        <v>7</v>
      </c>
      <c r="D1" s="7" t="s">
        <v>25</v>
      </c>
      <c r="E1" s="7" t="s">
        <v>45</v>
      </c>
      <c r="F1" s="7" t="s">
        <v>26</v>
      </c>
      <c r="G1" s="10" t="s">
        <v>40</v>
      </c>
      <c r="H1" s="7" t="s">
        <v>41</v>
      </c>
      <c r="I1" s="3" t="s">
        <v>5</v>
      </c>
    </row>
    <row r="2" spans="1:9" x14ac:dyDescent="0.2">
      <c r="A2" s="29">
        <v>44430</v>
      </c>
      <c r="B2" s="29" t="s">
        <v>29</v>
      </c>
      <c r="C2" s="30">
        <v>-525</v>
      </c>
      <c r="D2" s="22">
        <v>84</v>
      </c>
      <c r="E2" s="28">
        <f t="shared" ref="E2:E10" si="0">-C2/D2</f>
        <v>6.25</v>
      </c>
      <c r="F2" s="31">
        <f>SUMIF(SALES!$I:$I,BUYS!A2,SALES!$B:$B)</f>
        <v>80.5</v>
      </c>
      <c r="G2" s="32">
        <f t="shared" ref="G2:G10" si="1">D2-F2</f>
        <v>3.5</v>
      </c>
      <c r="H2" s="31"/>
      <c r="I2" s="30">
        <f>SUMIF(SALES!$I:$I,BUYS!A2,SALES!$C:$C)+C2</f>
        <v>215</v>
      </c>
    </row>
    <row r="3" spans="1:9" x14ac:dyDescent="0.2">
      <c r="A3" s="29">
        <v>44439</v>
      </c>
      <c r="B3" s="29" t="s">
        <v>30</v>
      </c>
      <c r="C3" s="30">
        <v>-580</v>
      </c>
      <c r="D3" s="22">
        <v>28</v>
      </c>
      <c r="E3" s="28">
        <f t="shared" si="0"/>
        <v>20.714285714285715</v>
      </c>
      <c r="F3" s="31">
        <f>SUMIF(SALES!$I:$I,BUYS!A3,SALES!$B:$B)</f>
        <v>26</v>
      </c>
      <c r="G3" s="32">
        <f t="shared" si="1"/>
        <v>2</v>
      </c>
      <c r="H3" s="30"/>
      <c r="I3" s="30">
        <f>SUMIF(SALES!$I:$I,BUYS!A3,SALES!$C:$C)+C3</f>
        <v>345</v>
      </c>
    </row>
    <row r="4" spans="1:9" x14ac:dyDescent="0.2">
      <c r="A4" s="29">
        <v>44443</v>
      </c>
      <c r="B4" s="22" t="s">
        <v>29</v>
      </c>
      <c r="C4" s="30">
        <v>-355</v>
      </c>
      <c r="D4" s="22">
        <v>56</v>
      </c>
      <c r="E4" s="28">
        <f t="shared" si="0"/>
        <v>6.3392857142857144</v>
      </c>
      <c r="F4" s="31">
        <f>SUMIF(SALES!$I:$I,BUYS!A4,SALES!$B:$B)</f>
        <v>55</v>
      </c>
      <c r="G4" s="32">
        <f t="shared" si="1"/>
        <v>1</v>
      </c>
      <c r="H4" s="31"/>
      <c r="I4" s="30">
        <f>SUMIF(SALES!$I:$I,BUYS!A4,SALES!$C:$C)+C4</f>
        <v>75</v>
      </c>
    </row>
    <row r="5" spans="1:9" x14ac:dyDescent="0.2">
      <c r="A5" s="29">
        <v>44445</v>
      </c>
      <c r="B5" s="22" t="s">
        <v>29</v>
      </c>
      <c r="C5" s="30">
        <v>-350</v>
      </c>
      <c r="D5" s="22">
        <v>56</v>
      </c>
      <c r="E5" s="28">
        <f t="shared" si="0"/>
        <v>6.25</v>
      </c>
      <c r="F5" s="31">
        <f>SUMIF(SALES!$I:$I,BUYS!A5,SALES!$B:$B)</f>
        <v>55</v>
      </c>
      <c r="G5" s="32">
        <f t="shared" si="1"/>
        <v>1</v>
      </c>
      <c r="H5" s="31"/>
      <c r="I5" s="30">
        <f>SUMIF(SALES!$I:$I,BUYS!A5,SALES!$C:$C)+C5</f>
        <v>90</v>
      </c>
    </row>
    <row r="6" spans="1:9" x14ac:dyDescent="0.2">
      <c r="A6" s="29">
        <v>44452</v>
      </c>
      <c r="B6" s="22" t="s">
        <v>30</v>
      </c>
      <c r="C6" s="30">
        <v>-290</v>
      </c>
      <c r="D6" s="22">
        <v>14</v>
      </c>
      <c r="E6" s="28">
        <f t="shared" si="0"/>
        <v>20.714285714285715</v>
      </c>
      <c r="F6" s="31">
        <f>SUMIF(SALES!$I:$I,BUYS!A6,SALES!$B:$B)</f>
        <v>10.5</v>
      </c>
      <c r="G6" s="32">
        <f t="shared" si="1"/>
        <v>3.5</v>
      </c>
      <c r="H6" s="31"/>
      <c r="I6" s="30">
        <f>SUMIF(SALES!$I:$I,BUYS!A6,SALES!$C:$C)+C6</f>
        <v>60</v>
      </c>
    </row>
    <row r="7" spans="1:9" x14ac:dyDescent="0.2">
      <c r="A7" s="29">
        <v>44453</v>
      </c>
      <c r="B7" s="22" t="s">
        <v>29</v>
      </c>
      <c r="C7" s="30">
        <v>-1050</v>
      </c>
      <c r="D7" s="22">
        <f>28*6</f>
        <v>168</v>
      </c>
      <c r="E7" s="28">
        <f t="shared" si="0"/>
        <v>6.25</v>
      </c>
      <c r="F7" s="31">
        <f>SUMIF(SALES!$I:$I,BUYS!A7,SALES!$B:$B)</f>
        <v>151</v>
      </c>
      <c r="G7" s="32">
        <f t="shared" si="1"/>
        <v>17</v>
      </c>
      <c r="H7" s="34"/>
      <c r="I7" s="30">
        <f>SUMIF(SALES!$I:$I,BUYS!A7,SALES!$C:$C)+C7</f>
        <v>160</v>
      </c>
    </row>
    <row r="8" spans="1:9" x14ac:dyDescent="0.2">
      <c r="A8" s="29">
        <v>44466</v>
      </c>
      <c r="B8" s="22" t="s">
        <v>30</v>
      </c>
      <c r="C8" s="30">
        <v>-600</v>
      </c>
      <c r="D8" s="22">
        <v>28</v>
      </c>
      <c r="E8" s="28">
        <f t="shared" si="0"/>
        <v>21.428571428571427</v>
      </c>
      <c r="F8" s="31">
        <f>SUMIF(SALES!$I:$I,BUYS!A8,SALES!$B:$B)</f>
        <v>19.8</v>
      </c>
      <c r="G8" s="33">
        <f t="shared" si="1"/>
        <v>8.1999999999999993</v>
      </c>
      <c r="H8" s="34"/>
      <c r="I8" s="30">
        <f>SUMIF(SALES!$I:$I,BUYS!A8,SALES!$C:$C)+C8</f>
        <v>115</v>
      </c>
    </row>
    <row r="9" spans="1:9" x14ac:dyDescent="0.2">
      <c r="A9" s="29">
        <v>44477</v>
      </c>
      <c r="B9" s="22" t="s">
        <v>29</v>
      </c>
      <c r="C9" s="30">
        <v>-700</v>
      </c>
      <c r="D9" s="22">
        <v>112</v>
      </c>
      <c r="E9" s="28">
        <f t="shared" si="0"/>
        <v>6.25</v>
      </c>
      <c r="F9" s="31">
        <f>SUMIF(SALES!$I:$I,BUYS!A9,SALES!$B:$B)</f>
        <v>112</v>
      </c>
      <c r="G9" s="33">
        <f t="shared" si="1"/>
        <v>0</v>
      </c>
      <c r="H9" s="34"/>
      <c r="I9" s="30">
        <f>SUMIF(SALES!$I:$I,BUYS!A9,SALES!$C:$C)+C9</f>
        <v>154</v>
      </c>
    </row>
    <row r="10" spans="1:9" x14ac:dyDescent="0.2">
      <c r="A10" s="29">
        <v>44482</v>
      </c>
      <c r="B10" s="22" t="s">
        <v>30</v>
      </c>
      <c r="C10" s="30">
        <v>-600</v>
      </c>
      <c r="D10" s="30">
        <v>28</v>
      </c>
      <c r="E10" s="35">
        <f t="shared" si="0"/>
        <v>21.428571428571427</v>
      </c>
      <c r="F10" s="31">
        <f>SUMIF(SALES!$I:$I,BUYS!A10,SALES!$B:$B)</f>
        <v>21</v>
      </c>
      <c r="G10" s="33">
        <f t="shared" si="1"/>
        <v>7</v>
      </c>
      <c r="H10" s="34"/>
      <c r="I10" s="30">
        <f>SUMIF(SALES!$I:$I,BUYS!A10,SALES!$C:$C)+C10</f>
        <v>210</v>
      </c>
    </row>
    <row r="11" spans="1:9" x14ac:dyDescent="0.2">
      <c r="A11" s="29">
        <v>44487</v>
      </c>
      <c r="B11" s="22" t="s">
        <v>29</v>
      </c>
      <c r="C11" s="30">
        <v>-350</v>
      </c>
      <c r="D11" s="30">
        <v>56</v>
      </c>
      <c r="E11" s="35">
        <f t="shared" ref="E11" si="2">-C11/D11</f>
        <v>6.25</v>
      </c>
      <c r="F11" s="31">
        <f>SUMIF(SALES!$I:$I,BUYS!A11,SALES!$B:$B)</f>
        <v>55</v>
      </c>
      <c r="G11" s="32">
        <f t="shared" ref="G11" si="3">D11-F11</f>
        <v>1</v>
      </c>
      <c r="H11" s="34"/>
      <c r="I11" s="30">
        <f>SUMIF(SALES!$I:$I,BUYS!A11,SALES!$C:$C)+C11</f>
        <v>135</v>
      </c>
    </row>
    <row r="12" spans="1:9" x14ac:dyDescent="0.2">
      <c r="A12" s="29">
        <v>44492</v>
      </c>
      <c r="B12" s="22" t="s">
        <v>29</v>
      </c>
      <c r="C12" s="30">
        <v>-500</v>
      </c>
      <c r="D12" s="30">
        <v>84</v>
      </c>
      <c r="E12" s="35">
        <f t="shared" ref="E12:E14" si="4">-C12/D12</f>
        <v>5.9523809523809526</v>
      </c>
      <c r="F12" s="31">
        <f>SUMIF(SALES!$I:$I,BUYS!A12,SALES!$B:$B)</f>
        <v>75</v>
      </c>
      <c r="G12" s="33">
        <f t="shared" ref="G12:G14" si="5">D12-F12</f>
        <v>9</v>
      </c>
      <c r="H12" s="34"/>
      <c r="I12" s="30">
        <f>SUMIF(SALES!$I:$I,BUYS!A12,SALES!$C:$C)+C12</f>
        <v>165</v>
      </c>
    </row>
    <row r="13" spans="1:9" x14ac:dyDescent="0.2">
      <c r="A13" s="29">
        <v>44506</v>
      </c>
      <c r="B13" s="22" t="s">
        <v>29</v>
      </c>
      <c r="C13" s="30">
        <v>-170</v>
      </c>
      <c r="D13" s="30">
        <v>28</v>
      </c>
      <c r="E13" s="35">
        <f t="shared" si="4"/>
        <v>6.0714285714285712</v>
      </c>
      <c r="F13" s="31">
        <f>SUMIF(SALES!$I:$I,BUYS!A13,SALES!$B:$B)</f>
        <v>9</v>
      </c>
      <c r="G13" s="33">
        <f t="shared" si="5"/>
        <v>19</v>
      </c>
      <c r="H13" s="34"/>
      <c r="I13" s="30">
        <f>SUMIF(SALES!$I:$I,BUYS!A13,SALES!$C:$C)+C13</f>
        <v>-85</v>
      </c>
    </row>
    <row r="14" spans="1:9" x14ac:dyDescent="0.2">
      <c r="A14" s="29">
        <v>44508</v>
      </c>
      <c r="B14" s="22" t="s">
        <v>30</v>
      </c>
      <c r="C14" s="30">
        <v>-600</v>
      </c>
      <c r="D14" s="30">
        <v>28</v>
      </c>
      <c r="E14" s="35">
        <f t="shared" si="4"/>
        <v>21.428571428571427</v>
      </c>
      <c r="F14" s="31">
        <f>SUMIF(SALES!$I:$I,BUYS!A14,SALES!$B:$B)</f>
        <v>1</v>
      </c>
      <c r="G14" s="33">
        <f t="shared" si="5"/>
        <v>27</v>
      </c>
      <c r="H14" s="34"/>
      <c r="I14" s="30">
        <f>SUMIF(SALES!$I:$I,BUYS!A14,SALES!$C:$C)+C14</f>
        <v>-560</v>
      </c>
    </row>
    <row r="15" spans="1:9" x14ac:dyDescent="0.2">
      <c r="A15" s="29"/>
      <c r="B15" s="22"/>
      <c r="C15" s="30"/>
      <c r="D15" s="30"/>
      <c r="E15" s="35"/>
      <c r="F15" s="31"/>
      <c r="G15" s="36"/>
      <c r="H15" s="34"/>
      <c r="I15" s="30"/>
    </row>
    <row r="16" spans="1:9" x14ac:dyDescent="0.2">
      <c r="A16" s="29"/>
      <c r="B16" s="22"/>
      <c r="C16" s="30"/>
      <c r="D16" s="30"/>
      <c r="E16" s="35"/>
      <c r="F16" s="31"/>
      <c r="G16" s="36"/>
      <c r="H16" s="34"/>
      <c r="I16" s="30"/>
    </row>
    <row r="17" spans="1:9" x14ac:dyDescent="0.2">
      <c r="A17" s="29"/>
      <c r="B17" s="22"/>
      <c r="C17" s="30"/>
      <c r="D17" s="30"/>
      <c r="E17" s="35"/>
      <c r="F17" s="31"/>
      <c r="G17" s="36"/>
      <c r="H17" s="34"/>
      <c r="I17" s="30"/>
    </row>
    <row r="18" spans="1:9" x14ac:dyDescent="0.2">
      <c r="A18" s="29"/>
      <c r="B18" s="22"/>
      <c r="C18" s="30"/>
      <c r="D18" s="30"/>
      <c r="E18" s="35"/>
      <c r="F18" s="31"/>
      <c r="G18" s="36"/>
      <c r="H18" s="34"/>
      <c r="I18" s="3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3D602-16E5-D74B-B755-9E31CA43CD81}">
  <sheetPr codeName="Sheet3"/>
  <dimension ref="A1:J104"/>
  <sheetViews>
    <sheetView topLeftCell="A72" workbookViewId="0">
      <selection activeCell="B105" sqref="B105"/>
    </sheetView>
  </sheetViews>
  <sheetFormatPr baseColWidth="10" defaultRowHeight="16" x14ac:dyDescent="0.2"/>
  <cols>
    <col min="1" max="1" width="22.1640625" bestFit="1" customWidth="1"/>
    <col min="2" max="2" width="8.83203125" bestFit="1" customWidth="1"/>
    <col min="3" max="3" width="4.1640625" bestFit="1" customWidth="1"/>
    <col min="4" max="4" width="15.6640625" bestFit="1" customWidth="1"/>
    <col min="5" max="5" width="16.33203125" bestFit="1" customWidth="1"/>
    <col min="6" max="6" width="12" bestFit="1" customWidth="1"/>
    <col min="7" max="7" width="15.33203125" bestFit="1" customWidth="1"/>
    <col min="8" max="8" width="9" bestFit="1" customWidth="1"/>
    <col min="9" max="9" width="8.83203125" style="2" bestFit="1" customWidth="1"/>
    <col min="10" max="10" width="13" style="2" bestFit="1" customWidth="1"/>
  </cols>
  <sheetData>
    <row r="1" spans="1:10" x14ac:dyDescent="0.2">
      <c r="A1" s="7" t="s">
        <v>0</v>
      </c>
      <c r="B1" s="7" t="s">
        <v>3</v>
      </c>
      <c r="C1" s="7" t="s">
        <v>4</v>
      </c>
      <c r="D1" s="10" t="s">
        <v>46</v>
      </c>
      <c r="E1" s="10" t="s">
        <v>47</v>
      </c>
      <c r="F1" s="10" t="s">
        <v>5</v>
      </c>
      <c r="G1" s="8" t="s">
        <v>8</v>
      </c>
      <c r="H1" s="8" t="s">
        <v>28</v>
      </c>
      <c r="I1" s="8" t="s">
        <v>33</v>
      </c>
      <c r="J1" s="8" t="s">
        <v>48</v>
      </c>
    </row>
    <row r="2" spans="1:10" x14ac:dyDescent="0.2">
      <c r="A2" s="2" t="s">
        <v>1</v>
      </c>
      <c r="B2" s="2">
        <v>7</v>
      </c>
      <c r="C2" s="2">
        <v>65</v>
      </c>
      <c r="D2" s="16">
        <f t="shared" ref="D2:D104" si="0">C2/B2</f>
        <v>9.2857142857142865</v>
      </c>
      <c r="E2" s="16" cm="1">
        <f t="array" ref="E2">_xlfn.IFS(I2=BUYS!$A$2,SALES!D2-BUYS!$E$2,I2=BUYS!$A$3,SALES!D2-BUYS!$E$3,I2=BUYS!$A$4,SALES!D2-BUYS!$E$4,I2=BUYS!$A$5,SALES!D2-BUYS!$E$5,I2=BUYS!$A$6,SALES!D2-BUYS!$E$6,I2=BUYS!$A$7,SALES!D2-BUYS!$E$7,I2=BUYS!$A$8,SALES!D2-BUYS!$E$8,I2=BUYS!$A$9,SALES!D2-BUYS!$E$9)</f>
        <v>3.0357142857142865</v>
      </c>
      <c r="F2" s="16">
        <f>E2*B2</f>
        <v>21.250000000000007</v>
      </c>
      <c r="G2" s="9" t="s">
        <v>10</v>
      </c>
      <c r="H2" s="2" t="s">
        <v>29</v>
      </c>
      <c r="I2" s="9">
        <v>44430</v>
      </c>
    </row>
    <row r="3" spans="1:10" x14ac:dyDescent="0.2">
      <c r="A3" s="2" t="s">
        <v>2</v>
      </c>
      <c r="B3" s="2">
        <v>2</v>
      </c>
      <c r="C3" s="2">
        <v>20</v>
      </c>
      <c r="D3" s="16">
        <f t="shared" si="0"/>
        <v>10</v>
      </c>
      <c r="E3" s="16" cm="1">
        <f t="array" ref="E3">_xlfn.IFS(I3=BUYS!$A$2,SALES!D3-BUYS!$E$2,I3=BUYS!$A$3,SALES!D3-BUYS!$E$3,I3=BUYS!$A$4,SALES!D3-BUYS!$E$4,I3=BUYS!$A$5,SALES!D3-BUYS!$E$5,I3=BUYS!$A$6,SALES!D3-BUYS!$E$6,I3=BUYS!$A$7,SALES!D3-BUYS!$E$7,I3=BUYS!$A$8,SALES!D3-BUYS!$E$8,I3=BUYS!$A$9,SALES!D3-BUYS!$E$9)</f>
        <v>3.75</v>
      </c>
      <c r="F3" s="16">
        <f t="shared" ref="F3:F72" si="1">E3*B3</f>
        <v>7.5</v>
      </c>
      <c r="G3" s="9" t="s">
        <v>9</v>
      </c>
      <c r="H3" s="2" t="s">
        <v>29</v>
      </c>
      <c r="I3" s="9">
        <v>44430</v>
      </c>
    </row>
    <row r="4" spans="1:10" x14ac:dyDescent="0.2">
      <c r="A4" s="2" t="s">
        <v>22</v>
      </c>
      <c r="B4" s="2">
        <v>4</v>
      </c>
      <c r="C4" s="2">
        <v>40</v>
      </c>
      <c r="D4" s="16">
        <f t="shared" si="0"/>
        <v>10</v>
      </c>
      <c r="E4" s="16" cm="1">
        <f t="array" ref="E4">_xlfn.IFS(I4=BUYS!$A$2,SALES!D4-BUYS!$E$2,I4=BUYS!$A$3,SALES!D4-BUYS!$E$3,I4=BUYS!$A$4,SALES!D4-BUYS!$E$4,I4=BUYS!$A$5,SALES!D4-BUYS!$E$5,I4=BUYS!$A$6,SALES!D4-BUYS!$E$6,I4=BUYS!$A$7,SALES!D4-BUYS!$E$7,I4=BUYS!$A$8,SALES!D4-BUYS!$E$8,I4=BUYS!$A$9,SALES!D4-BUYS!$E$9)</f>
        <v>3.75</v>
      </c>
      <c r="F4" s="16">
        <f t="shared" si="1"/>
        <v>15</v>
      </c>
      <c r="G4" s="9" t="s">
        <v>9</v>
      </c>
      <c r="H4" s="2" t="s">
        <v>29</v>
      </c>
      <c r="I4" s="9">
        <v>44430</v>
      </c>
    </row>
    <row r="5" spans="1:10" x14ac:dyDescent="0.2">
      <c r="A5" s="2" t="s">
        <v>23</v>
      </c>
      <c r="B5" s="2">
        <v>7</v>
      </c>
      <c r="C5" s="2">
        <v>65</v>
      </c>
      <c r="D5" s="16">
        <f t="shared" si="0"/>
        <v>9.2857142857142865</v>
      </c>
      <c r="E5" s="16" cm="1">
        <f t="array" ref="E5">_xlfn.IFS(I5=BUYS!$A$2,SALES!D5-BUYS!$E$2,I5=BUYS!$A$3,SALES!D5-BUYS!$E$3,I5=BUYS!$A$4,SALES!D5-BUYS!$E$4,I5=BUYS!$A$5,SALES!D5-BUYS!$E$5,I5=BUYS!$A$6,SALES!D5-BUYS!$E$6,I5=BUYS!$A$7,SALES!D5-BUYS!$E$7,I5=BUYS!$A$8,SALES!D5-BUYS!$E$8,I5=BUYS!$A$9,SALES!D5-BUYS!$E$9)</f>
        <v>3.0357142857142865</v>
      </c>
      <c r="F5" s="16">
        <f t="shared" si="1"/>
        <v>21.250000000000007</v>
      </c>
      <c r="G5" s="9" t="s">
        <v>9</v>
      </c>
      <c r="H5" s="2" t="s">
        <v>29</v>
      </c>
      <c r="I5" s="9">
        <v>44430</v>
      </c>
    </row>
    <row r="6" spans="1:10" x14ac:dyDescent="0.2">
      <c r="A6" s="2" t="s">
        <v>24</v>
      </c>
      <c r="B6" s="2">
        <v>7</v>
      </c>
      <c r="C6" s="2">
        <v>65</v>
      </c>
      <c r="D6" s="16">
        <f t="shared" si="0"/>
        <v>9.2857142857142865</v>
      </c>
      <c r="E6" s="16" cm="1">
        <f t="array" ref="E6">_xlfn.IFS(I6=BUYS!$A$2,SALES!D6-BUYS!$E$2,I6=BUYS!$A$3,SALES!D6-BUYS!$E$3,I6=BUYS!$A$4,SALES!D6-BUYS!$E$4,I6=BUYS!$A$5,SALES!D6-BUYS!$E$5,I6=BUYS!$A$6,SALES!D6-BUYS!$E$6,I6=BUYS!$A$7,SALES!D6-BUYS!$E$7,I6=BUYS!$A$8,SALES!D6-BUYS!$E$8,I6=BUYS!$A$9,SALES!D6-BUYS!$E$9)</f>
        <v>3.0357142857142865</v>
      </c>
      <c r="F6" s="16">
        <f t="shared" si="1"/>
        <v>21.250000000000007</v>
      </c>
      <c r="G6" s="9" t="s">
        <v>9</v>
      </c>
      <c r="H6" s="2" t="s">
        <v>29</v>
      </c>
      <c r="I6" s="9">
        <v>44430</v>
      </c>
    </row>
    <row r="7" spans="1:10" x14ac:dyDescent="0.2">
      <c r="A7" s="2" t="s">
        <v>27</v>
      </c>
      <c r="B7" s="2">
        <v>2</v>
      </c>
      <c r="C7" s="2">
        <v>20</v>
      </c>
      <c r="D7" s="16">
        <f t="shared" si="0"/>
        <v>10</v>
      </c>
      <c r="E7" s="16" cm="1">
        <f t="array" ref="E7">_xlfn.IFS(I7=BUYS!$A$2,SALES!D7-BUYS!$E$2,I7=BUYS!$A$3,SALES!D7-BUYS!$E$3,I7=BUYS!$A$4,SALES!D7-BUYS!$E$4,I7=BUYS!$A$5,SALES!D7-BUYS!$E$5,I7=BUYS!$A$6,SALES!D7-BUYS!$E$6,I7=BUYS!$A$7,SALES!D7-BUYS!$E$7,I7=BUYS!$A$8,SALES!D7-BUYS!$E$8,I7=BUYS!$A$9,SALES!D7-BUYS!$E$9)</f>
        <v>3.75</v>
      </c>
      <c r="F7" s="16">
        <f t="shared" si="1"/>
        <v>7.5</v>
      </c>
      <c r="G7" s="9" t="s">
        <v>9</v>
      </c>
      <c r="H7" s="2" t="s">
        <v>29</v>
      </c>
      <c r="I7" s="9">
        <v>44430</v>
      </c>
    </row>
    <row r="8" spans="1:10" x14ac:dyDescent="0.2">
      <c r="A8" s="2" t="s">
        <v>23</v>
      </c>
      <c r="B8" s="2">
        <v>7</v>
      </c>
      <c r="C8" s="2">
        <v>65</v>
      </c>
      <c r="D8" s="16">
        <f t="shared" si="0"/>
        <v>9.2857142857142865</v>
      </c>
      <c r="E8" s="16" cm="1">
        <f t="array" ref="E8">_xlfn.IFS(I8=BUYS!$A$2,SALES!D8-BUYS!$E$2,I8=BUYS!$A$3,SALES!D8-BUYS!$E$3,I8=BUYS!$A$4,SALES!D8-BUYS!$E$4,I8=BUYS!$A$5,SALES!D8-BUYS!$E$5,I8=BUYS!$A$6,SALES!D8-BUYS!$E$6,I8=BUYS!$A$7,SALES!D8-BUYS!$E$7,I8=BUYS!$A$8,SALES!D8-BUYS!$E$8,I8=BUYS!$A$9,SALES!D8-BUYS!$E$9)</f>
        <v>3.0357142857142865</v>
      </c>
      <c r="F8" s="16">
        <f t="shared" si="1"/>
        <v>21.250000000000007</v>
      </c>
      <c r="G8" s="9" t="s">
        <v>9</v>
      </c>
      <c r="H8" s="2" t="s">
        <v>29</v>
      </c>
      <c r="I8" s="9">
        <v>44430</v>
      </c>
    </row>
    <row r="9" spans="1:10" x14ac:dyDescent="0.2">
      <c r="A9" s="2" t="s">
        <v>1</v>
      </c>
      <c r="B9" s="2">
        <v>14</v>
      </c>
      <c r="C9" s="2">
        <v>125</v>
      </c>
      <c r="D9" s="16">
        <f t="shared" si="0"/>
        <v>8.9285714285714288</v>
      </c>
      <c r="E9" s="16" cm="1">
        <f t="array" ref="E9">_xlfn.IFS(I9=BUYS!$A$2,SALES!D9-BUYS!$E$2,I9=BUYS!$A$3,SALES!D9-BUYS!$E$3,I9=BUYS!$A$4,SALES!D9-BUYS!$E$4,I9=BUYS!$A$5,SALES!D9-BUYS!$E$5,I9=BUYS!$A$6,SALES!D9-BUYS!$E$6,I9=BUYS!$A$7,SALES!D9-BUYS!$E$7,I9=BUYS!$A$8,SALES!D9-BUYS!$E$8,I9=BUYS!$A$9,SALES!D9-BUYS!$E$9)</f>
        <v>2.6785714285714288</v>
      </c>
      <c r="F9" s="16">
        <f t="shared" si="1"/>
        <v>37.5</v>
      </c>
      <c r="G9" s="9" t="s">
        <v>10</v>
      </c>
      <c r="H9" s="2" t="s">
        <v>29</v>
      </c>
      <c r="I9" s="9">
        <v>44430</v>
      </c>
    </row>
    <row r="10" spans="1:10" x14ac:dyDescent="0.2">
      <c r="A10" s="2" t="s">
        <v>2</v>
      </c>
      <c r="B10" s="2">
        <v>7</v>
      </c>
      <c r="C10" s="2">
        <v>65</v>
      </c>
      <c r="D10" s="16">
        <f t="shared" si="0"/>
        <v>9.2857142857142865</v>
      </c>
      <c r="E10" s="16" cm="1">
        <f t="array" ref="E10">_xlfn.IFS(I10=BUYS!$A$2,SALES!D10-BUYS!$E$2,I10=BUYS!$A$3,SALES!D10-BUYS!$E$3,I10=BUYS!$A$4,SALES!D10-BUYS!$E$4,I10=BUYS!$A$5,SALES!D10-BUYS!$E$5,I10=BUYS!$A$6,SALES!D10-BUYS!$E$6,I10=BUYS!$A$7,SALES!D10-BUYS!$E$7,I10=BUYS!$A$8,SALES!D10-BUYS!$E$8,I10=BUYS!$A$9,SALES!D10-BUYS!$E$9)</f>
        <v>3.0357142857142865</v>
      </c>
      <c r="F10" s="16">
        <f t="shared" si="1"/>
        <v>21.250000000000007</v>
      </c>
      <c r="G10" s="9" t="s">
        <v>12</v>
      </c>
      <c r="H10" s="2" t="s">
        <v>29</v>
      </c>
      <c r="I10" s="9">
        <v>44430</v>
      </c>
    </row>
    <row r="11" spans="1:10" x14ac:dyDescent="0.2">
      <c r="A11" s="2" t="s">
        <v>35</v>
      </c>
      <c r="B11" s="2">
        <v>7</v>
      </c>
      <c r="C11" s="2">
        <v>70</v>
      </c>
      <c r="D11" s="16">
        <f t="shared" si="0"/>
        <v>10</v>
      </c>
      <c r="E11" s="16" cm="1">
        <f t="array" ref="E11">_xlfn.IFS(I11=BUYS!$A$2,SALES!D11-BUYS!$E$2,I11=BUYS!$A$3,SALES!D11-BUYS!$E$3,I11=BUYS!$A$4,SALES!D11-BUYS!$E$4,I11=BUYS!$A$5,SALES!D11-BUYS!$E$5,I11=BUYS!$A$6,SALES!D11-BUYS!$E$6,I11=BUYS!$A$7,SALES!D11-BUYS!$E$7,I11=BUYS!$A$8,SALES!D11-BUYS!$E$8,I11=BUYS!$A$9,SALES!D11-BUYS!$E$9)</f>
        <v>3.75</v>
      </c>
      <c r="F11" s="16">
        <f t="shared" si="1"/>
        <v>26.25</v>
      </c>
      <c r="G11" s="9" t="s">
        <v>9</v>
      </c>
      <c r="H11" s="2" t="s">
        <v>29</v>
      </c>
      <c r="I11" s="9">
        <v>44430</v>
      </c>
    </row>
    <row r="12" spans="1:10" x14ac:dyDescent="0.2">
      <c r="A12" s="2" t="s">
        <v>22</v>
      </c>
      <c r="B12" s="2">
        <v>2</v>
      </c>
      <c r="C12" s="2">
        <v>20</v>
      </c>
      <c r="D12" s="16">
        <f t="shared" si="0"/>
        <v>10</v>
      </c>
      <c r="E12" s="16" cm="1">
        <f t="array" ref="E12">_xlfn.IFS(I12=BUYS!$A$2,SALES!D12-BUYS!$E$2,I12=BUYS!$A$3,SALES!D12-BUYS!$E$3,I12=BUYS!$A$4,SALES!D12-BUYS!$E$4,I12=BUYS!$A$5,SALES!D12-BUYS!$E$5,I12=BUYS!$A$6,SALES!D12-BUYS!$E$6,I12=BUYS!$A$7,SALES!D12-BUYS!$E$7,I12=BUYS!$A$8,SALES!D12-BUYS!$E$8,I12=BUYS!$A$9,SALES!D12-BUYS!$E$9)</f>
        <v>3.75</v>
      </c>
      <c r="F12" s="16">
        <f t="shared" si="1"/>
        <v>7.5</v>
      </c>
      <c r="G12" s="9" t="s">
        <v>9</v>
      </c>
      <c r="H12" s="2" t="s">
        <v>29</v>
      </c>
      <c r="I12" s="9">
        <v>44430</v>
      </c>
    </row>
    <row r="13" spans="1:10" x14ac:dyDescent="0.2">
      <c r="A13" s="2" t="s">
        <v>2</v>
      </c>
      <c r="B13" s="2">
        <v>14.5</v>
      </c>
      <c r="C13" s="2">
        <v>120</v>
      </c>
      <c r="D13" s="16">
        <f t="shared" si="0"/>
        <v>8.2758620689655178</v>
      </c>
      <c r="E13" s="16" cm="1">
        <f t="array" ref="E13">_xlfn.IFS(I13=BUYS!$A$2,SALES!D13-BUYS!$E$2,I13=BUYS!$A$3,SALES!D13-BUYS!$E$3,I13=BUYS!$A$4,SALES!D13-BUYS!$E$4,I13=BUYS!$A$5,SALES!D13-BUYS!$E$5,I13=BUYS!$A$6,SALES!D13-BUYS!$E$6,I13=BUYS!$A$7,SALES!D13-BUYS!$E$7,I13=BUYS!$A$8,SALES!D13-BUYS!$E$8,I13=BUYS!$A$9,SALES!D13-BUYS!$E$9)</f>
        <v>2.0258620689655178</v>
      </c>
      <c r="F13" s="16">
        <f t="shared" si="1"/>
        <v>29.375000000000007</v>
      </c>
      <c r="G13" s="9" t="s">
        <v>9</v>
      </c>
      <c r="H13" s="2" t="s">
        <v>29</v>
      </c>
      <c r="I13" s="9">
        <v>44430</v>
      </c>
    </row>
    <row r="14" spans="1:10" x14ac:dyDescent="0.2">
      <c r="A14" s="2" t="s">
        <v>31</v>
      </c>
      <c r="B14" s="2">
        <v>7</v>
      </c>
      <c r="C14" s="2">
        <v>245</v>
      </c>
      <c r="D14" s="16">
        <f t="shared" si="0"/>
        <v>35</v>
      </c>
      <c r="E14" s="16" cm="1">
        <f t="array" ref="E14">_xlfn.IFS(I14=BUYS!$A$2,SALES!D14-BUYS!$E$2,I14=BUYS!$A$3,SALES!D14-BUYS!$E$3,I14=BUYS!$A$4,SALES!D14-BUYS!$E$4,I14=BUYS!$A$5,SALES!D14-BUYS!$E$5,I14=BUYS!$A$6,SALES!D14-BUYS!$E$6,I14=BUYS!$A$7,SALES!D14-BUYS!$E$7,I14=BUYS!$A$8,SALES!D14-BUYS!$E$8,I14=BUYS!$A$9,SALES!D14-BUYS!$E$9)</f>
        <v>14.285714285714285</v>
      </c>
      <c r="F14" s="16">
        <f t="shared" si="1"/>
        <v>100</v>
      </c>
      <c r="G14" s="9" t="s">
        <v>9</v>
      </c>
      <c r="H14" s="2" t="s">
        <v>30</v>
      </c>
      <c r="I14" s="9">
        <v>44439</v>
      </c>
    </row>
    <row r="15" spans="1:10" x14ac:dyDescent="0.2">
      <c r="A15" s="2" t="s">
        <v>36</v>
      </c>
      <c r="B15" s="2">
        <v>2</v>
      </c>
      <c r="C15" s="2">
        <v>60</v>
      </c>
      <c r="D15" s="16">
        <f t="shared" si="0"/>
        <v>30</v>
      </c>
      <c r="E15" s="16" cm="1">
        <f t="array" ref="E15">_xlfn.IFS(I15=BUYS!$A$2,SALES!D15-BUYS!$E$2,I15=BUYS!$A$3,SALES!D15-BUYS!$E$3,I15=BUYS!$A$4,SALES!D15-BUYS!$E$4,I15=BUYS!$A$5,SALES!D15-BUYS!$E$5,I15=BUYS!$A$6,SALES!D15-BUYS!$E$6,I15=BUYS!$A$7,SALES!D15-BUYS!$E$7,I15=BUYS!$A$8,SALES!D15-BUYS!$E$8,I15=BUYS!$A$9,SALES!D15-BUYS!$E$9)</f>
        <v>9.2857142857142847</v>
      </c>
      <c r="F15" s="16">
        <f t="shared" si="1"/>
        <v>18.571428571428569</v>
      </c>
      <c r="G15" s="9" t="s">
        <v>10</v>
      </c>
      <c r="H15" s="2" t="s">
        <v>30</v>
      </c>
      <c r="I15" s="9">
        <v>44439</v>
      </c>
    </row>
    <row r="16" spans="1:10" x14ac:dyDescent="0.2">
      <c r="A16" s="2" t="s">
        <v>37</v>
      </c>
      <c r="B16" s="2">
        <v>2</v>
      </c>
      <c r="C16" s="2">
        <v>70</v>
      </c>
      <c r="D16" s="16">
        <f t="shared" si="0"/>
        <v>35</v>
      </c>
      <c r="E16" s="16" cm="1">
        <f t="array" ref="E16">_xlfn.IFS(I16=BUYS!$A$2,SALES!D16-BUYS!$E$2,I16=BUYS!$A$3,SALES!D16-BUYS!$E$3,I16=BUYS!$A$4,SALES!D16-BUYS!$E$4,I16=BUYS!$A$5,SALES!D16-BUYS!$E$5,I16=BUYS!$A$6,SALES!D16-BUYS!$E$6,I16=BUYS!$A$7,SALES!D16-BUYS!$E$7,I16=BUYS!$A$8,SALES!D16-BUYS!$E$8,I16=BUYS!$A$9,SALES!D16-BUYS!$E$9)</f>
        <v>14.285714285714285</v>
      </c>
      <c r="F16" s="16">
        <f t="shared" si="1"/>
        <v>28.571428571428569</v>
      </c>
      <c r="G16" s="9" t="s">
        <v>10</v>
      </c>
      <c r="H16" s="2" t="s">
        <v>30</v>
      </c>
      <c r="I16" s="9">
        <v>44439</v>
      </c>
    </row>
    <row r="17" spans="1:10" x14ac:dyDescent="0.2">
      <c r="A17" s="2" t="s">
        <v>38</v>
      </c>
      <c r="B17" s="2">
        <v>1</v>
      </c>
      <c r="C17" s="2">
        <v>40</v>
      </c>
      <c r="D17" s="16">
        <f t="shared" si="0"/>
        <v>40</v>
      </c>
      <c r="E17" s="16" cm="1">
        <f t="array" ref="E17">_xlfn.IFS(I17=BUYS!$A$2,SALES!D17-BUYS!$E$2,I17=BUYS!$A$3,SALES!D17-BUYS!$E$3,I17=BUYS!$A$4,SALES!D17-BUYS!$E$4,I17=BUYS!$A$5,SALES!D17-BUYS!$E$5,I17=BUYS!$A$6,SALES!D17-BUYS!$E$6,I17=BUYS!$A$7,SALES!D17-BUYS!$E$7,I17=BUYS!$A$8,SALES!D17-BUYS!$E$8,I17=BUYS!$A$9,SALES!D17-BUYS!$E$9)</f>
        <v>19.285714285714285</v>
      </c>
      <c r="F17" s="16">
        <f t="shared" si="1"/>
        <v>19.285714285714285</v>
      </c>
      <c r="G17" s="9" t="s">
        <v>9</v>
      </c>
      <c r="H17" s="2" t="s">
        <v>30</v>
      </c>
      <c r="I17" s="9">
        <v>44439</v>
      </c>
    </row>
    <row r="18" spans="1:10" x14ac:dyDescent="0.2">
      <c r="A18" s="2" t="s">
        <v>42</v>
      </c>
      <c r="B18" s="2">
        <v>3</v>
      </c>
      <c r="C18" s="2">
        <v>100</v>
      </c>
      <c r="D18" s="16">
        <f t="shared" si="0"/>
        <v>33.333333333333336</v>
      </c>
      <c r="E18" s="16" cm="1">
        <f t="array" ref="E18">_xlfn.IFS(I18=BUYS!$A$2,SALES!D18-BUYS!$E$2,I18=BUYS!$A$3,SALES!D18-BUYS!$E$3,I18=BUYS!$A$4,SALES!D18-BUYS!$E$4,I18=BUYS!$A$5,SALES!D18-BUYS!$E$5,I18=BUYS!$A$6,SALES!D18-BUYS!$E$6,I18=BUYS!$A$7,SALES!D18-BUYS!$E$7,I18=BUYS!$A$8,SALES!D18-BUYS!$E$8,I18=BUYS!$A$9,SALES!D18-BUYS!$E$9)</f>
        <v>12.61904761904762</v>
      </c>
      <c r="F18" s="16">
        <f t="shared" si="1"/>
        <v>37.857142857142861</v>
      </c>
      <c r="G18" s="9" t="s">
        <v>9</v>
      </c>
      <c r="H18" s="2" t="s">
        <v>30</v>
      </c>
      <c r="I18" s="9">
        <v>44439</v>
      </c>
    </row>
    <row r="19" spans="1:10" x14ac:dyDescent="0.2">
      <c r="A19" s="2" t="s">
        <v>44</v>
      </c>
      <c r="B19" s="2">
        <v>1</v>
      </c>
      <c r="C19" s="2">
        <v>45</v>
      </c>
      <c r="D19" s="16">
        <f t="shared" si="0"/>
        <v>45</v>
      </c>
      <c r="E19" s="16" cm="1">
        <f t="array" ref="E19">_xlfn.IFS(I19=BUYS!$A$2,SALES!D19-BUYS!$E$2,I19=BUYS!$A$3,SALES!D19-BUYS!$E$3,I19=BUYS!$A$4,SALES!D19-BUYS!$E$4,I19=BUYS!$A$5,SALES!D19-BUYS!$E$5,I19=BUYS!$A$6,SALES!D19-BUYS!$E$6,I19=BUYS!$A$7,SALES!D19-BUYS!$E$7,I19=BUYS!$A$8,SALES!D19-BUYS!$E$8,I19=BUYS!$A$9,SALES!D19-BUYS!$E$9)</f>
        <v>24.285714285714285</v>
      </c>
      <c r="F19" s="16">
        <f t="shared" si="1"/>
        <v>24.285714285714285</v>
      </c>
      <c r="G19" s="9" t="s">
        <v>9</v>
      </c>
      <c r="H19" s="2" t="s">
        <v>30</v>
      </c>
      <c r="I19" s="9">
        <v>44439</v>
      </c>
    </row>
    <row r="20" spans="1:10" x14ac:dyDescent="0.2">
      <c r="A20" s="2" t="s">
        <v>22</v>
      </c>
      <c r="B20" s="2">
        <v>8</v>
      </c>
      <c r="C20" s="2">
        <v>80</v>
      </c>
      <c r="D20" s="16">
        <f t="shared" si="0"/>
        <v>10</v>
      </c>
      <c r="E20" s="16" cm="1">
        <f t="array" ref="E20">_xlfn.IFS(I20=BUYS!$A$2,SALES!D20-BUYS!$E$2,I20=BUYS!$A$3,SALES!D20-BUYS!$E$3,I20=BUYS!$A$4,SALES!D20-BUYS!$E$4,I20=BUYS!$A$5,SALES!D20-BUYS!$E$5,I20=BUYS!$A$6,SALES!D20-BUYS!$E$6,I20=BUYS!$A$7,SALES!D20-BUYS!$E$7,I20=BUYS!$A$8,SALES!D20-BUYS!$E$8,I20=BUYS!$A$9,SALES!D20-BUYS!$E$9)</f>
        <v>3.6607142857142856</v>
      </c>
      <c r="F20" s="16">
        <f t="shared" si="1"/>
        <v>29.285714285714285</v>
      </c>
      <c r="G20" s="9" t="s">
        <v>10</v>
      </c>
      <c r="H20" s="2" t="s">
        <v>29</v>
      </c>
      <c r="I20" s="9">
        <v>44443</v>
      </c>
    </row>
    <row r="21" spans="1:10" x14ac:dyDescent="0.2">
      <c r="A21" s="2" t="s">
        <v>23</v>
      </c>
      <c r="B21" s="2">
        <v>7</v>
      </c>
      <c r="C21" s="2">
        <v>65</v>
      </c>
      <c r="D21" s="16">
        <f t="shared" si="0"/>
        <v>9.2857142857142865</v>
      </c>
      <c r="E21" s="16" cm="1">
        <f t="array" ref="E21">_xlfn.IFS(I21=BUYS!$A$2,SALES!D21-BUYS!$E$2,I21=BUYS!$A$3,SALES!D21-BUYS!$E$3,I21=BUYS!$A$4,SALES!D21-BUYS!$E$4,I21=BUYS!$A$5,SALES!D21-BUYS!$E$5,I21=BUYS!$A$6,SALES!D21-BUYS!$E$6,I21=BUYS!$A$7,SALES!D21-BUYS!$E$7,I21=BUYS!$A$8,SALES!D21-BUYS!$E$8,I21=BUYS!$A$9,SALES!D21-BUYS!$E$9)</f>
        <v>2.9464285714285721</v>
      </c>
      <c r="F21" s="16">
        <f t="shared" si="1"/>
        <v>20.625000000000004</v>
      </c>
      <c r="G21" s="9" t="s">
        <v>9</v>
      </c>
      <c r="H21" s="2" t="s">
        <v>29</v>
      </c>
      <c r="I21" s="9">
        <v>44443</v>
      </c>
    </row>
    <row r="22" spans="1:10" x14ac:dyDescent="0.2">
      <c r="A22" s="2" t="s">
        <v>39</v>
      </c>
      <c r="B22" s="2">
        <v>28</v>
      </c>
      <c r="C22" s="2">
        <v>200</v>
      </c>
      <c r="D22" s="16">
        <f t="shared" si="0"/>
        <v>7.1428571428571432</v>
      </c>
      <c r="E22" s="16" cm="1">
        <f t="array" ref="E22">_xlfn.IFS(I22=BUYS!$A$2,SALES!D22-BUYS!$E$2,I22=BUYS!$A$3,SALES!D22-BUYS!$E$3,I22=BUYS!$A$4,SALES!D22-BUYS!$E$4,I22=BUYS!$A$5,SALES!D22-BUYS!$E$5,I22=BUYS!$A$6,SALES!D22-BUYS!$E$6,I22=BUYS!$A$7,SALES!D22-BUYS!$E$7,I22=BUYS!$A$8,SALES!D22-BUYS!$E$8,I22=BUYS!$A$9,SALES!D22-BUYS!$E$9)</f>
        <v>0.80357142857142883</v>
      </c>
      <c r="F22" s="16">
        <f t="shared" si="1"/>
        <v>22.500000000000007</v>
      </c>
      <c r="G22" s="9" t="s">
        <v>9</v>
      </c>
      <c r="H22" s="2" t="s">
        <v>29</v>
      </c>
      <c r="I22" s="9">
        <v>44443</v>
      </c>
    </row>
    <row r="23" spans="1:10" x14ac:dyDescent="0.2">
      <c r="A23" s="2" t="s">
        <v>43</v>
      </c>
      <c r="B23" s="2">
        <v>12</v>
      </c>
      <c r="C23" s="2">
        <v>85</v>
      </c>
      <c r="D23" s="16">
        <f t="shared" si="0"/>
        <v>7.083333333333333</v>
      </c>
      <c r="E23" s="16" cm="1">
        <f t="array" ref="E23">_xlfn.IFS(I23=BUYS!$A$2,SALES!D23-BUYS!$E$2,I23=BUYS!$A$3,SALES!D23-BUYS!$E$3,I23=BUYS!$A$4,SALES!D23-BUYS!$E$4,I23=BUYS!$A$5,SALES!D23-BUYS!$E$5,I23=BUYS!$A$6,SALES!D23-BUYS!$E$6,I23=BUYS!$A$7,SALES!D23-BUYS!$E$7,I23=BUYS!$A$8,SALES!D23-BUYS!$E$8,I23=BUYS!$A$9,SALES!D23-BUYS!$E$9)</f>
        <v>0.74404761904761862</v>
      </c>
      <c r="F23" s="16">
        <f t="shared" si="1"/>
        <v>8.9285714285714235</v>
      </c>
      <c r="G23" s="9" t="s">
        <v>9</v>
      </c>
      <c r="H23" s="2" t="s">
        <v>29</v>
      </c>
      <c r="I23" s="9">
        <v>44443</v>
      </c>
    </row>
    <row r="24" spans="1:10" x14ac:dyDescent="0.2">
      <c r="A24" s="2" t="s">
        <v>24</v>
      </c>
      <c r="B24" s="2">
        <v>7</v>
      </c>
      <c r="C24" s="2">
        <v>65</v>
      </c>
      <c r="D24" s="16">
        <f t="shared" si="0"/>
        <v>9.2857142857142865</v>
      </c>
      <c r="E24" s="16" cm="1">
        <f t="array" ref="E24">_xlfn.IFS(I24=BUYS!$A$2,SALES!D24-BUYS!$E$2,I24=BUYS!$A$3,SALES!D24-BUYS!$E$3,I24=BUYS!$A$4,SALES!D24-BUYS!$E$4,I24=BUYS!$A$5,SALES!D24-BUYS!$E$5,I24=BUYS!$A$6,SALES!D24-BUYS!$E$6,I24=BUYS!$A$7,SALES!D24-BUYS!$E$7,I24=BUYS!$A$8,SALES!D24-BUYS!$E$8,I24=BUYS!$A$9,SALES!D24-BUYS!$E$9)</f>
        <v>3.0357142857142865</v>
      </c>
      <c r="F24" s="16">
        <f t="shared" si="1"/>
        <v>21.250000000000007</v>
      </c>
      <c r="G24" s="9" t="s">
        <v>9</v>
      </c>
      <c r="H24" s="2" t="s">
        <v>29</v>
      </c>
      <c r="I24" s="9">
        <v>44445</v>
      </c>
      <c r="J24" s="9">
        <v>44445</v>
      </c>
    </row>
    <row r="25" spans="1:10" x14ac:dyDescent="0.2">
      <c r="A25" s="2" t="s">
        <v>38</v>
      </c>
      <c r="B25" s="2">
        <v>1</v>
      </c>
      <c r="C25" s="2">
        <v>40</v>
      </c>
      <c r="D25" s="16">
        <f t="shared" si="0"/>
        <v>40</v>
      </c>
      <c r="E25" s="16" cm="1">
        <f t="array" ref="E25">_xlfn.IFS(I25=BUYS!$A$2,SALES!D25-BUYS!$E$2,I25=BUYS!$A$3,SALES!D25-BUYS!$E$3,I25=BUYS!$A$4,SALES!D25-BUYS!$E$4,I25=BUYS!$A$5,SALES!D25-BUYS!$E$5,I25=BUYS!$A$6,SALES!D25-BUYS!$E$6,I25=BUYS!$A$7,SALES!D25-BUYS!$E$7,I25=BUYS!$A$8,SALES!D25-BUYS!$E$8,I25=BUYS!$A$9,SALES!D25-BUYS!$E$9)</f>
        <v>19.285714285714285</v>
      </c>
      <c r="F25" s="16">
        <f t="shared" si="1"/>
        <v>19.285714285714285</v>
      </c>
      <c r="G25" s="9" t="s">
        <v>9</v>
      </c>
      <c r="H25" s="2" t="s">
        <v>30</v>
      </c>
      <c r="I25" s="9">
        <v>44439</v>
      </c>
      <c r="J25" s="9">
        <v>44446</v>
      </c>
    </row>
    <row r="26" spans="1:10" x14ac:dyDescent="0.2">
      <c r="A26" s="2" t="s">
        <v>49</v>
      </c>
      <c r="B26" s="2">
        <v>3</v>
      </c>
      <c r="C26" s="2">
        <v>25</v>
      </c>
      <c r="D26" s="16">
        <f t="shared" si="0"/>
        <v>8.3333333333333339</v>
      </c>
      <c r="E26" s="16" cm="1">
        <f t="array" ref="E26">_xlfn.IFS(I26=BUYS!$A$2,SALES!D26-BUYS!$E$2,I26=BUYS!$A$3,SALES!D26-BUYS!$E$3,I26=BUYS!$A$4,SALES!D26-BUYS!$E$4,I26=BUYS!$A$5,SALES!D26-BUYS!$E$5,I26=BUYS!$A$6,SALES!D26-BUYS!$E$6,I26=BUYS!$A$7,SALES!D26-BUYS!$E$7,I26=BUYS!$A$8,SALES!D26-BUYS!$E$8,I26=BUYS!$A$9,SALES!D26-BUYS!$E$9)</f>
        <v>2.0833333333333339</v>
      </c>
      <c r="F26" s="16">
        <f t="shared" si="1"/>
        <v>6.2500000000000018</v>
      </c>
      <c r="G26" s="9" t="s">
        <v>9</v>
      </c>
      <c r="H26" s="2" t="s">
        <v>29</v>
      </c>
      <c r="I26" s="9">
        <v>44445</v>
      </c>
      <c r="J26" s="9">
        <v>44447</v>
      </c>
    </row>
    <row r="27" spans="1:10" x14ac:dyDescent="0.2">
      <c r="A27" s="2" t="s">
        <v>50</v>
      </c>
      <c r="B27" s="2">
        <v>1</v>
      </c>
      <c r="C27" s="2">
        <v>40</v>
      </c>
      <c r="D27" s="16">
        <f t="shared" si="0"/>
        <v>40</v>
      </c>
      <c r="E27" s="16" cm="1">
        <f t="array" ref="E27">_xlfn.IFS(I27=BUYS!$A$2,SALES!D27-BUYS!$E$2,I27=BUYS!$A$3,SALES!D27-BUYS!$E$3,I27=BUYS!$A$4,SALES!D27-BUYS!$E$4,I27=BUYS!$A$5,SALES!D27-BUYS!$E$5,I27=BUYS!$A$6,SALES!D27-BUYS!$E$6,I27=BUYS!$A$7,SALES!D27-BUYS!$E$7,I27=BUYS!$A$8,SALES!D27-BUYS!$E$8,I27=BUYS!$A$9,SALES!D27-BUYS!$E$9)</f>
        <v>19.285714285714285</v>
      </c>
      <c r="F27" s="16">
        <f t="shared" si="1"/>
        <v>19.285714285714285</v>
      </c>
      <c r="G27" s="9" t="s">
        <v>10</v>
      </c>
      <c r="H27" s="2" t="s">
        <v>30</v>
      </c>
      <c r="I27" s="9">
        <v>44439</v>
      </c>
      <c r="J27" s="9">
        <v>44447</v>
      </c>
    </row>
    <row r="28" spans="1:10" x14ac:dyDescent="0.2">
      <c r="A28" s="2" t="s">
        <v>44</v>
      </c>
      <c r="B28" s="2">
        <v>1</v>
      </c>
      <c r="C28" s="2">
        <v>45</v>
      </c>
      <c r="D28" s="16">
        <f t="shared" si="0"/>
        <v>45</v>
      </c>
      <c r="E28" s="16" cm="1">
        <f t="array" ref="E28">_xlfn.IFS(I28=BUYS!$A$2,SALES!D28-BUYS!$E$2,I28=BUYS!$A$3,SALES!D28-BUYS!$E$3,I28=BUYS!$A$4,SALES!D28-BUYS!$E$4,I28=BUYS!$A$5,SALES!D28-BUYS!$E$5,I28=BUYS!$A$6,SALES!D28-BUYS!$E$6,I28=BUYS!$A$7,SALES!D28-BUYS!$E$7,I28=BUYS!$A$8,SALES!D28-BUYS!$E$8,I28=BUYS!$A$9,SALES!D28-BUYS!$E$9)</f>
        <v>24.285714285714285</v>
      </c>
      <c r="F28" s="16">
        <f t="shared" si="1"/>
        <v>24.285714285714285</v>
      </c>
      <c r="G28" s="9" t="s">
        <v>9</v>
      </c>
      <c r="H28" s="2" t="s">
        <v>30</v>
      </c>
      <c r="I28" s="9">
        <v>44439</v>
      </c>
      <c r="J28" s="9">
        <v>44449</v>
      </c>
    </row>
    <row r="29" spans="1:10" x14ac:dyDescent="0.2">
      <c r="A29" s="2" t="s">
        <v>31</v>
      </c>
      <c r="B29" s="2">
        <v>7</v>
      </c>
      <c r="C29" s="2">
        <v>240</v>
      </c>
      <c r="D29" s="16">
        <f t="shared" si="0"/>
        <v>34.285714285714285</v>
      </c>
      <c r="E29" s="16" cm="1">
        <f t="array" ref="E29">_xlfn.IFS(I29=BUYS!$A$2,SALES!D29-BUYS!$E$2,I29=BUYS!$A$3,SALES!D29-BUYS!$E$3,I29=BUYS!$A$4,SALES!D29-BUYS!$E$4,I29=BUYS!$A$5,SALES!D29-BUYS!$E$5,I29=BUYS!$A$6,SALES!D29-BUYS!$E$6,I29=BUYS!$A$7,SALES!D29-BUYS!$E$7,I29=BUYS!$A$8,SALES!D29-BUYS!$E$8,I29=BUYS!$A$9,SALES!D29-BUYS!$E$9)</f>
        <v>13.571428571428569</v>
      </c>
      <c r="F29" s="16">
        <f t="shared" si="1"/>
        <v>94.999999999999986</v>
      </c>
      <c r="G29" s="9" t="s">
        <v>9</v>
      </c>
      <c r="H29" s="2" t="s">
        <v>30</v>
      </c>
      <c r="I29" s="9">
        <v>44439</v>
      </c>
      <c r="J29" s="9">
        <v>44450</v>
      </c>
    </row>
    <row r="30" spans="1:10" x14ac:dyDescent="0.2">
      <c r="A30" s="2" t="s">
        <v>23</v>
      </c>
      <c r="B30" s="2">
        <v>7</v>
      </c>
      <c r="C30" s="2">
        <v>65</v>
      </c>
      <c r="D30" s="16">
        <f t="shared" si="0"/>
        <v>9.2857142857142865</v>
      </c>
      <c r="E30" s="16" cm="1">
        <f t="array" ref="E30">_xlfn.IFS(I30=BUYS!$A$2,SALES!D30-BUYS!$E$2,I30=BUYS!$A$3,SALES!D30-BUYS!$E$3,I30=BUYS!$A$4,SALES!D30-BUYS!$E$4,I30=BUYS!$A$5,SALES!D30-BUYS!$E$5,I30=BUYS!$A$6,SALES!D30-BUYS!$E$6,I30=BUYS!$A$7,SALES!D30-BUYS!$E$7,I30=BUYS!$A$8,SALES!D30-BUYS!$E$8,I30=BUYS!$A$9,SALES!D30-BUYS!$E$9)</f>
        <v>3.0357142857142865</v>
      </c>
      <c r="F30" s="16">
        <f t="shared" si="1"/>
        <v>21.250000000000007</v>
      </c>
      <c r="G30" s="9" t="s">
        <v>9</v>
      </c>
      <c r="H30" s="2" t="s">
        <v>29</v>
      </c>
      <c r="I30" s="9">
        <v>44445</v>
      </c>
      <c r="J30" s="9">
        <v>44451</v>
      </c>
    </row>
    <row r="31" spans="1:10" x14ac:dyDescent="0.2">
      <c r="A31" s="2" t="s">
        <v>22</v>
      </c>
      <c r="B31" s="2">
        <v>4</v>
      </c>
      <c r="C31" s="2">
        <v>40</v>
      </c>
      <c r="D31" s="16">
        <f t="shared" si="0"/>
        <v>10</v>
      </c>
      <c r="E31" s="16" cm="1">
        <f t="array" ref="E31">_xlfn.IFS(I31=BUYS!$A$2,SALES!D31-BUYS!$E$2,I31=BUYS!$A$3,SALES!D31-BUYS!$E$3,I31=BUYS!$A$4,SALES!D31-BUYS!$E$4,I31=BUYS!$A$5,SALES!D31-BUYS!$E$5,I31=BUYS!$A$6,SALES!D31-BUYS!$E$6,I31=BUYS!$A$7,SALES!D31-BUYS!$E$7,I31=BUYS!$A$8,SALES!D31-BUYS!$E$8,I31=BUYS!$A$9,SALES!D31-BUYS!$E$9)</f>
        <v>3.75</v>
      </c>
      <c r="F31" s="16">
        <f t="shared" si="1"/>
        <v>15</v>
      </c>
      <c r="G31" s="9" t="s">
        <v>9</v>
      </c>
      <c r="H31" s="2" t="s">
        <v>29</v>
      </c>
      <c r="I31" s="9">
        <v>44445</v>
      </c>
      <c r="J31" s="9">
        <v>44451</v>
      </c>
    </row>
    <row r="32" spans="1:10" x14ac:dyDescent="0.2">
      <c r="A32" s="2" t="s">
        <v>35</v>
      </c>
      <c r="B32" s="2">
        <v>7</v>
      </c>
      <c r="C32" s="2">
        <v>70</v>
      </c>
      <c r="D32" s="16">
        <f t="shared" si="0"/>
        <v>10</v>
      </c>
      <c r="E32" s="16" cm="1">
        <f t="array" ref="E32">_xlfn.IFS(I32=BUYS!$A$2,SALES!D32-BUYS!$E$2,I32=BUYS!$A$3,SALES!D32-BUYS!$E$3,I32=BUYS!$A$4,SALES!D32-BUYS!$E$4,I32=BUYS!$A$5,SALES!D32-BUYS!$E$5,I32=BUYS!$A$6,SALES!D32-BUYS!$E$6,I32=BUYS!$A$7,SALES!D32-BUYS!$E$7,I32=BUYS!$A$8,SALES!D32-BUYS!$E$8,I32=BUYS!$A$9,SALES!D32-BUYS!$E$9)</f>
        <v>3.75</v>
      </c>
      <c r="F32" s="16">
        <f t="shared" si="1"/>
        <v>26.25</v>
      </c>
      <c r="G32" s="9" t="s">
        <v>9</v>
      </c>
      <c r="H32" s="2" t="s">
        <v>29</v>
      </c>
      <c r="I32" s="9">
        <v>44445</v>
      </c>
      <c r="J32" s="9">
        <v>44452</v>
      </c>
    </row>
    <row r="33" spans="1:10" x14ac:dyDescent="0.2">
      <c r="A33" s="2" t="s">
        <v>43</v>
      </c>
      <c r="B33" s="2">
        <v>27</v>
      </c>
      <c r="C33" s="2">
        <v>175</v>
      </c>
      <c r="D33" s="16">
        <f t="shared" si="0"/>
        <v>6.4814814814814818</v>
      </c>
      <c r="E33" s="16" cm="1">
        <f t="array" ref="E33">_xlfn.IFS(I33=BUYS!$A$2,SALES!D33-BUYS!$E$2,I33=BUYS!$A$3,SALES!D33-BUYS!$E$3,I33=BUYS!$A$4,SALES!D33-BUYS!$E$4,I33=BUYS!$A$5,SALES!D33-BUYS!$E$5,I33=BUYS!$A$6,SALES!D33-BUYS!$E$6,I33=BUYS!$A$7,SALES!D33-BUYS!$E$7,I33=BUYS!$A$8,SALES!D33-BUYS!$E$8,I33=BUYS!$A$9,SALES!D33-BUYS!$E$9)</f>
        <v>0.23148148148148184</v>
      </c>
      <c r="F33" s="16">
        <f t="shared" si="1"/>
        <v>6.2500000000000098</v>
      </c>
      <c r="G33" s="9" t="s">
        <v>9</v>
      </c>
      <c r="H33" s="2" t="s">
        <v>29</v>
      </c>
      <c r="I33" s="9">
        <v>44445</v>
      </c>
      <c r="J33" s="9">
        <v>44452</v>
      </c>
    </row>
    <row r="34" spans="1:10" x14ac:dyDescent="0.2">
      <c r="A34" s="2" t="s">
        <v>42</v>
      </c>
      <c r="B34" s="2">
        <v>3</v>
      </c>
      <c r="C34" s="2">
        <v>60</v>
      </c>
      <c r="D34" s="16">
        <f t="shared" si="0"/>
        <v>20</v>
      </c>
      <c r="E34" s="16" cm="1">
        <f t="array" ref="E34">_xlfn.IFS(I34=BUYS!$A$2,SALES!D34-BUYS!$E$2,I34=BUYS!$A$3,SALES!D34-BUYS!$E$3,I34=BUYS!$A$4,SALES!D34-BUYS!$E$4,I34=BUYS!$A$5,SALES!D34-BUYS!$E$5,I34=BUYS!$A$6,SALES!D34-BUYS!$E$6,I34=BUYS!$A$7,SALES!D34-BUYS!$E$7,I34=BUYS!$A$8,SALES!D34-BUYS!$E$8,I34=BUYS!$A$9,SALES!D34-BUYS!$E$9)</f>
        <v>-0.7142857142857153</v>
      </c>
      <c r="F34" s="16">
        <f t="shared" si="1"/>
        <v>-2.1428571428571459</v>
      </c>
      <c r="G34" s="9" t="s">
        <v>9</v>
      </c>
      <c r="H34" s="2" t="s">
        <v>30</v>
      </c>
      <c r="I34" s="9">
        <v>44452</v>
      </c>
      <c r="J34" s="9">
        <v>44452</v>
      </c>
    </row>
    <row r="35" spans="1:10" x14ac:dyDescent="0.2">
      <c r="A35" s="2" t="s">
        <v>42</v>
      </c>
      <c r="B35" s="2">
        <v>56</v>
      </c>
      <c r="C35" s="2">
        <v>350</v>
      </c>
      <c r="D35" s="16">
        <f t="shared" si="0"/>
        <v>6.25</v>
      </c>
      <c r="E35" s="16" cm="1">
        <f t="array" ref="E35">_xlfn.IFS(I35=BUYS!$A$2,SALES!D35-BUYS!$E$2,I35=BUYS!$A$3,SALES!D35-BUYS!$E$3,I35=BUYS!$A$4,SALES!D35-BUYS!$E$4,I35=BUYS!$A$5,SALES!D35-BUYS!$E$5,I35=BUYS!$A$6,SALES!D35-BUYS!$E$6,I35=BUYS!$A$7,SALES!D35-BUYS!$E$7,I35=BUYS!$A$8,SALES!D35-BUYS!$E$8,I35=BUYS!$A$9,SALES!D35-BUYS!$E$9)</f>
        <v>0</v>
      </c>
      <c r="F35" s="16">
        <f t="shared" si="1"/>
        <v>0</v>
      </c>
      <c r="G35" s="9" t="s">
        <v>51</v>
      </c>
      <c r="H35" s="2" t="s">
        <v>29</v>
      </c>
      <c r="I35" s="9">
        <v>44453</v>
      </c>
      <c r="J35" s="9">
        <v>44453</v>
      </c>
    </row>
    <row r="36" spans="1:10" x14ac:dyDescent="0.2">
      <c r="A36" s="2" t="s">
        <v>38</v>
      </c>
      <c r="B36" s="2">
        <v>1</v>
      </c>
      <c r="C36" s="2">
        <v>40</v>
      </c>
      <c r="D36" s="16">
        <f t="shared" si="0"/>
        <v>40</v>
      </c>
      <c r="E36" s="16" cm="1">
        <f t="array" ref="E36">_xlfn.IFS(I36=BUYS!$A$2,SALES!D36-BUYS!$E$2,I36=BUYS!$A$3,SALES!D36-BUYS!$E$3,I36=BUYS!$A$4,SALES!D36-BUYS!$E$4,I36=BUYS!$A$5,SALES!D36-BUYS!$E$5,I36=BUYS!$A$6,SALES!D36-BUYS!$E$6,I36=BUYS!$A$7,SALES!D36-BUYS!$E$7,I36=BUYS!$A$8,SALES!D36-BUYS!$E$8,I36=BUYS!$A$9,SALES!D36-BUYS!$E$9)</f>
        <v>19.285714285714285</v>
      </c>
      <c r="F36" s="16">
        <f t="shared" si="1"/>
        <v>19.285714285714285</v>
      </c>
      <c r="G36" s="9" t="s">
        <v>9</v>
      </c>
      <c r="H36" s="2" t="s">
        <v>30</v>
      </c>
      <c r="I36" s="9">
        <v>44452</v>
      </c>
      <c r="J36" s="9">
        <v>44453</v>
      </c>
    </row>
    <row r="37" spans="1:10" x14ac:dyDescent="0.2">
      <c r="A37" s="2" t="s">
        <v>44</v>
      </c>
      <c r="B37" s="2">
        <v>2</v>
      </c>
      <c r="C37" s="2">
        <v>90</v>
      </c>
      <c r="D37" s="16">
        <f t="shared" si="0"/>
        <v>45</v>
      </c>
      <c r="E37" s="16" cm="1">
        <f t="array" ref="E37">_xlfn.IFS(I37=BUYS!$A$2,SALES!D37-BUYS!$E$2,I37=BUYS!$A$3,SALES!D37-BUYS!$E$3,I37=BUYS!$A$4,SALES!D37-BUYS!$E$4,I37=BUYS!$A$5,SALES!D37-BUYS!$E$5,I37=BUYS!$A$6,SALES!D37-BUYS!$E$6,I37=BUYS!$A$7,SALES!D37-BUYS!$E$7,I37=BUYS!$A$8,SALES!D37-BUYS!$E$8,I37=BUYS!$A$9,SALES!D37-BUYS!$E$9)</f>
        <v>24.285714285714285</v>
      </c>
      <c r="F37" s="16">
        <f t="shared" si="1"/>
        <v>48.571428571428569</v>
      </c>
      <c r="G37" s="9" t="s">
        <v>9</v>
      </c>
      <c r="H37" s="2" t="s">
        <v>30</v>
      </c>
      <c r="I37" s="9">
        <v>44452</v>
      </c>
      <c r="J37" s="9">
        <v>44456</v>
      </c>
    </row>
    <row r="38" spans="1:10" x14ac:dyDescent="0.2">
      <c r="A38" s="2" t="s">
        <v>37</v>
      </c>
      <c r="B38" s="2">
        <v>3.5</v>
      </c>
      <c r="C38" s="2">
        <v>120</v>
      </c>
      <c r="D38" s="16">
        <f t="shared" si="0"/>
        <v>34.285714285714285</v>
      </c>
      <c r="E38" s="16" cm="1">
        <f t="array" ref="E38">_xlfn.IFS(I38=BUYS!$A$2,SALES!D38-BUYS!$E$2,I38=BUYS!$A$3,SALES!D38-BUYS!$E$3,I38=BUYS!$A$4,SALES!D38-BUYS!$E$4,I38=BUYS!$A$5,SALES!D38-BUYS!$E$5,I38=BUYS!$A$6,SALES!D38-BUYS!$E$6,I38=BUYS!$A$7,SALES!D38-BUYS!$E$7,I38=BUYS!$A$8,SALES!D38-BUYS!$E$8,I38=BUYS!$A$9,SALES!D38-BUYS!$E$9)</f>
        <v>13.571428571428569</v>
      </c>
      <c r="F38" s="16">
        <f t="shared" si="1"/>
        <v>47.499999999999993</v>
      </c>
      <c r="G38" s="9" t="s">
        <v>10</v>
      </c>
      <c r="H38" s="2" t="s">
        <v>30</v>
      </c>
      <c r="I38" s="9">
        <v>44452</v>
      </c>
      <c r="J38" s="9">
        <v>44457</v>
      </c>
    </row>
    <row r="39" spans="1:10" x14ac:dyDescent="0.2">
      <c r="A39" s="2" t="s">
        <v>52</v>
      </c>
      <c r="B39" s="2">
        <v>7</v>
      </c>
      <c r="C39" s="2">
        <v>45</v>
      </c>
      <c r="D39" s="16">
        <f t="shared" si="0"/>
        <v>6.4285714285714288</v>
      </c>
      <c r="E39" s="16" cm="1">
        <f t="array" ref="E39">_xlfn.IFS(I39=BUYS!$A$2,SALES!D39-BUYS!$E$2,I39=BUYS!$A$3,SALES!D39-BUYS!$E$3,I39=BUYS!$A$4,SALES!D39-BUYS!$E$4,I39=BUYS!$A$5,SALES!D39-BUYS!$E$5,I39=BUYS!$A$6,SALES!D39-BUYS!$E$6,I39=BUYS!$A$7,SALES!D39-BUYS!$E$7,I39=BUYS!$A$8,SALES!D39-BUYS!$E$8,I39=BUYS!$A$9,SALES!D39-BUYS!$E$9)</f>
        <v>0.17857142857142883</v>
      </c>
      <c r="F39" s="16">
        <f t="shared" si="1"/>
        <v>1.2500000000000018</v>
      </c>
      <c r="G39" s="9" t="s">
        <v>10</v>
      </c>
      <c r="H39" s="2" t="s">
        <v>29</v>
      </c>
      <c r="I39" s="9">
        <v>44453</v>
      </c>
      <c r="J39" s="9">
        <v>44460</v>
      </c>
    </row>
    <row r="40" spans="1:10" x14ac:dyDescent="0.2">
      <c r="A40" s="2" t="s">
        <v>22</v>
      </c>
      <c r="B40" s="2">
        <v>6</v>
      </c>
      <c r="C40" s="2">
        <v>60</v>
      </c>
      <c r="D40" s="16">
        <f t="shared" si="0"/>
        <v>10</v>
      </c>
      <c r="E40" s="16" cm="1">
        <f t="array" ref="E40">_xlfn.IFS(I40=BUYS!$A$2,SALES!D40-BUYS!$E$2,I40=BUYS!$A$3,SALES!D40-BUYS!$E$3,I40=BUYS!$A$4,SALES!D40-BUYS!$E$4,I40=BUYS!$A$5,SALES!D40-BUYS!$E$5,I40=BUYS!$A$6,SALES!D40-BUYS!$E$6,I40=BUYS!$A$7,SALES!D40-BUYS!$E$7,I40=BUYS!$A$8,SALES!D40-BUYS!$E$8,I40=BUYS!$A$9,SALES!D40-BUYS!$E$9)</f>
        <v>3.75</v>
      </c>
      <c r="F40" s="16">
        <f t="shared" si="1"/>
        <v>22.5</v>
      </c>
      <c r="G40" s="9" t="s">
        <v>9</v>
      </c>
      <c r="H40" s="2" t="s">
        <v>29</v>
      </c>
      <c r="I40" s="9">
        <v>44453</v>
      </c>
      <c r="J40" s="9">
        <v>44461</v>
      </c>
    </row>
    <row r="41" spans="1:10" x14ac:dyDescent="0.2">
      <c r="A41" s="2" t="s">
        <v>53</v>
      </c>
      <c r="B41" s="2">
        <v>2</v>
      </c>
      <c r="C41" s="2">
        <v>20</v>
      </c>
      <c r="D41" s="16">
        <f t="shared" si="0"/>
        <v>10</v>
      </c>
      <c r="E41" s="16" cm="1">
        <f t="array" ref="E41">_xlfn.IFS(I41=BUYS!$A$2,SALES!D41-BUYS!$E$2,I41=BUYS!$A$3,SALES!D41-BUYS!$E$3,I41=BUYS!$A$4,SALES!D41-BUYS!$E$4,I41=BUYS!$A$5,SALES!D41-BUYS!$E$5,I41=BUYS!$A$6,SALES!D41-BUYS!$E$6,I41=BUYS!$A$7,SALES!D41-BUYS!$E$7,I41=BUYS!$A$8,SALES!D41-BUYS!$E$8,I41=BUYS!$A$9,SALES!D41-BUYS!$E$9)</f>
        <v>3.75</v>
      </c>
      <c r="F41" s="16">
        <f t="shared" si="1"/>
        <v>7.5</v>
      </c>
      <c r="G41" s="9" t="s">
        <v>9</v>
      </c>
      <c r="H41" s="2" t="s">
        <v>29</v>
      </c>
      <c r="I41" s="9">
        <v>44453</v>
      </c>
      <c r="J41" s="9">
        <v>44461</v>
      </c>
    </row>
    <row r="42" spans="1:10" x14ac:dyDescent="0.2">
      <c r="A42" s="2" t="s">
        <v>31</v>
      </c>
      <c r="B42" s="2">
        <v>1</v>
      </c>
      <c r="C42" s="2">
        <v>40</v>
      </c>
      <c r="D42" s="16">
        <f t="shared" si="0"/>
        <v>40</v>
      </c>
      <c r="E42" s="16" cm="1">
        <f t="array" ref="E42">_xlfn.IFS(I42=BUYS!$A$2,SALES!D42-BUYS!$E$2,I42=BUYS!$A$3,SALES!D42-BUYS!$E$3,I42=BUYS!$A$4,SALES!D42-BUYS!$E$4,I42=BUYS!$A$5,SALES!D42-BUYS!$E$5,I42=BUYS!$A$6,SALES!D42-BUYS!$E$6,I42=BUYS!$A$7,SALES!D42-BUYS!$E$7,I42=BUYS!$A$8,SALES!D42-BUYS!$E$8,I42=BUYS!$A$9,SALES!D42-BUYS!$E$9)</f>
        <v>19.285714285714285</v>
      </c>
      <c r="F42" s="16">
        <f t="shared" si="1"/>
        <v>19.285714285714285</v>
      </c>
      <c r="G42" s="9" t="s">
        <v>9</v>
      </c>
      <c r="H42" s="2" t="s">
        <v>30</v>
      </c>
      <c r="I42" s="9">
        <v>44452</v>
      </c>
      <c r="J42" s="9">
        <v>44462</v>
      </c>
    </row>
    <row r="43" spans="1:10" x14ac:dyDescent="0.2">
      <c r="A43" s="2" t="s">
        <v>24</v>
      </c>
      <c r="B43" s="2">
        <v>10.5</v>
      </c>
      <c r="C43" s="2">
        <v>100</v>
      </c>
      <c r="D43" s="16">
        <f t="shared" si="0"/>
        <v>9.5238095238095237</v>
      </c>
      <c r="E43" s="16" cm="1">
        <f t="array" ref="E43">_xlfn.IFS(I43=BUYS!$A$2,SALES!D43-BUYS!$E$2,I43=BUYS!$A$3,SALES!D43-BUYS!$E$3,I43=BUYS!$A$4,SALES!D43-BUYS!$E$4,I43=BUYS!$A$5,SALES!D43-BUYS!$E$5,I43=BUYS!$A$6,SALES!D43-BUYS!$E$6,I43=BUYS!$A$7,SALES!D43-BUYS!$E$7,I43=BUYS!$A$8,SALES!D43-BUYS!$E$8,I43=BUYS!$A$9,SALES!D43-BUYS!$E$9)</f>
        <v>3.2738095238095237</v>
      </c>
      <c r="F43" s="16">
        <f t="shared" si="1"/>
        <v>34.375</v>
      </c>
      <c r="G43" s="9" t="s">
        <v>9</v>
      </c>
      <c r="H43" s="2" t="s">
        <v>29</v>
      </c>
      <c r="I43" s="9">
        <v>44453</v>
      </c>
      <c r="J43" s="9">
        <v>44462</v>
      </c>
    </row>
    <row r="44" spans="1:10" x14ac:dyDescent="0.2">
      <c r="A44" s="2" t="s">
        <v>55</v>
      </c>
      <c r="B44" s="2">
        <v>6</v>
      </c>
      <c r="C44" s="2">
        <v>60</v>
      </c>
      <c r="D44" s="16">
        <f t="shared" si="0"/>
        <v>10</v>
      </c>
      <c r="E44" s="16" cm="1">
        <f t="array" ref="E44">_xlfn.IFS(I44=BUYS!$A$2,SALES!D44-BUYS!$E$2,I44=BUYS!$A$3,SALES!D44-BUYS!$E$3,I44=BUYS!$A$4,SALES!D44-BUYS!$E$4,I44=BUYS!$A$5,SALES!D44-BUYS!$E$5,I44=BUYS!$A$6,SALES!D44-BUYS!$E$6,I44=BUYS!$A$7,SALES!D44-BUYS!$E$7,I44=BUYS!$A$8,SALES!D44-BUYS!$E$8,I44=BUYS!$A$9,SALES!D44-BUYS!$E$9)</f>
        <v>3.75</v>
      </c>
      <c r="F44" s="16">
        <f t="shared" si="1"/>
        <v>22.5</v>
      </c>
      <c r="G44" s="9" t="s">
        <v>10</v>
      </c>
      <c r="H44" s="2" t="s">
        <v>29</v>
      </c>
      <c r="I44" s="9">
        <v>44453</v>
      </c>
      <c r="J44" s="9">
        <v>44460</v>
      </c>
    </row>
    <row r="45" spans="1:10" x14ac:dyDescent="0.2">
      <c r="A45" s="2" t="s">
        <v>56</v>
      </c>
      <c r="B45" s="2">
        <v>7</v>
      </c>
      <c r="C45" s="2">
        <v>75</v>
      </c>
      <c r="D45" s="16">
        <f t="shared" si="0"/>
        <v>10.714285714285714</v>
      </c>
      <c r="E45" s="16" cm="1">
        <f t="array" ref="E45">_xlfn.IFS(I45=BUYS!$A$2,SALES!D45-BUYS!$E$2,I45=BUYS!$A$3,SALES!D45-BUYS!$E$3,I45=BUYS!$A$4,SALES!D45-BUYS!$E$4,I45=BUYS!$A$5,SALES!D45-BUYS!$E$5,I45=BUYS!$A$6,SALES!D45-BUYS!$E$6,I45=BUYS!$A$7,SALES!D45-BUYS!$E$7,I45=BUYS!$A$8,SALES!D45-BUYS!$E$8,I45=BUYS!$A$9,SALES!D45-BUYS!$E$9)</f>
        <v>4.4642857142857135</v>
      </c>
      <c r="F45" s="16">
        <f t="shared" si="1"/>
        <v>31.249999999999993</v>
      </c>
      <c r="G45" s="9" t="s">
        <v>10</v>
      </c>
      <c r="H45" s="2" t="s">
        <v>29</v>
      </c>
      <c r="I45" s="9">
        <v>44453</v>
      </c>
      <c r="J45" s="9">
        <v>44464</v>
      </c>
    </row>
    <row r="46" spans="1:10" x14ac:dyDescent="0.2">
      <c r="A46" s="2" t="s">
        <v>1</v>
      </c>
      <c r="B46" s="2">
        <v>7</v>
      </c>
      <c r="C46" s="2">
        <v>65</v>
      </c>
      <c r="D46" s="16">
        <f t="shared" si="0"/>
        <v>9.2857142857142865</v>
      </c>
      <c r="E46" s="16" cm="1">
        <f t="array" ref="E46">_xlfn.IFS(I46=BUYS!$A$2,SALES!D46-BUYS!$E$2,I46=BUYS!$A$3,SALES!D46-BUYS!$E$3,I46=BUYS!$A$4,SALES!D46-BUYS!$E$4,I46=BUYS!$A$5,SALES!D46-BUYS!$E$5,I46=BUYS!$A$6,SALES!D46-BUYS!$E$6,I46=BUYS!$A$7,SALES!D46-BUYS!$E$7,I46=BUYS!$A$8,SALES!D46-BUYS!$E$8,I46=BUYS!$A$9,SALES!D46-BUYS!$E$9)</f>
        <v>3.0357142857142865</v>
      </c>
      <c r="F46" s="16">
        <f t="shared" si="1"/>
        <v>21.250000000000007</v>
      </c>
      <c r="G46" s="9" t="s">
        <v>10</v>
      </c>
      <c r="H46" s="2" t="s">
        <v>29</v>
      </c>
      <c r="I46" s="9">
        <v>44453</v>
      </c>
      <c r="J46" s="9">
        <v>44464</v>
      </c>
    </row>
    <row r="47" spans="1:10" x14ac:dyDescent="0.2">
      <c r="A47" s="2" t="s">
        <v>44</v>
      </c>
      <c r="B47" s="2">
        <v>3.5</v>
      </c>
      <c r="C47" s="2">
        <v>35</v>
      </c>
      <c r="D47" s="16">
        <f t="shared" si="0"/>
        <v>10</v>
      </c>
      <c r="E47" s="16" cm="1">
        <f t="array" ref="E47">_xlfn.IFS(I47=BUYS!$A$2,SALES!D47-BUYS!$E$2,I47=BUYS!$A$3,SALES!D47-BUYS!$E$3,I47=BUYS!$A$4,SALES!D47-BUYS!$E$4,I47=BUYS!$A$5,SALES!D47-BUYS!$E$5,I47=BUYS!$A$6,SALES!D47-BUYS!$E$6,I47=BUYS!$A$7,SALES!D47-BUYS!$E$7,I47=BUYS!$A$8,SALES!D47-BUYS!$E$8,I47=BUYS!$A$9,SALES!D47-BUYS!$E$9)</f>
        <v>3.75</v>
      </c>
      <c r="F47" s="16">
        <f t="shared" si="1"/>
        <v>13.125</v>
      </c>
      <c r="G47" s="9" t="s">
        <v>9</v>
      </c>
      <c r="H47" s="2" t="s">
        <v>29</v>
      </c>
      <c r="I47" s="9">
        <v>44453</v>
      </c>
      <c r="J47" s="9">
        <v>44464</v>
      </c>
    </row>
    <row r="48" spans="1:10" x14ac:dyDescent="0.2">
      <c r="A48" s="2" t="s">
        <v>38</v>
      </c>
      <c r="B48" s="2">
        <v>1</v>
      </c>
      <c r="C48" s="2">
        <v>40</v>
      </c>
      <c r="D48" s="16">
        <f t="shared" si="0"/>
        <v>40</v>
      </c>
      <c r="E48" s="16" cm="1">
        <f t="array" ref="E48">_xlfn.IFS(I48=BUYS!$A$2,SALES!D48-BUYS!$E$2,I48=BUYS!$A$3,SALES!D48-BUYS!$E$3,I48=BUYS!$A$4,SALES!D48-BUYS!$E$4,I48=BUYS!$A$5,SALES!D48-BUYS!$E$5,I48=BUYS!$A$6,SALES!D48-BUYS!$E$6,I48=BUYS!$A$7,SALES!D48-BUYS!$E$7,I48=BUYS!$A$8,SALES!D48-BUYS!$E$8,I48=BUYS!$A$9,SALES!D48-BUYS!$E$9)</f>
        <v>18.571428571428573</v>
      </c>
      <c r="F48" s="16">
        <f t="shared" si="1"/>
        <v>18.571428571428573</v>
      </c>
      <c r="G48" s="9" t="s">
        <v>9</v>
      </c>
      <c r="H48" s="2" t="s">
        <v>30</v>
      </c>
      <c r="I48" s="9">
        <v>44466</v>
      </c>
      <c r="J48" s="9">
        <v>44466</v>
      </c>
    </row>
    <row r="49" spans="1:10" x14ac:dyDescent="0.2">
      <c r="A49" s="2" t="s">
        <v>57</v>
      </c>
      <c r="B49" s="2">
        <v>1</v>
      </c>
      <c r="C49" s="2">
        <v>40</v>
      </c>
      <c r="D49" s="16">
        <f t="shared" si="0"/>
        <v>40</v>
      </c>
      <c r="E49" s="16" cm="1">
        <f t="array" ref="E49">_xlfn.IFS(I49=BUYS!$A$2,SALES!D49-BUYS!$E$2,I49=BUYS!$A$3,SALES!D49-BUYS!$E$3,I49=BUYS!$A$4,SALES!D49-BUYS!$E$4,I49=BUYS!$A$5,SALES!D49-BUYS!$E$5,I49=BUYS!$A$6,SALES!D49-BUYS!$E$6,I49=BUYS!$A$7,SALES!D49-BUYS!$E$7,I49=BUYS!$A$8,SALES!D49-BUYS!$E$8,I49=BUYS!$A$9,SALES!D49-BUYS!$E$9)</f>
        <v>18.571428571428573</v>
      </c>
      <c r="F49" s="16">
        <f t="shared" si="1"/>
        <v>18.571428571428573</v>
      </c>
      <c r="G49" s="9" t="s">
        <v>9</v>
      </c>
      <c r="H49" s="2" t="s">
        <v>30</v>
      </c>
      <c r="I49" s="9">
        <v>44466</v>
      </c>
      <c r="J49" s="9">
        <v>44466</v>
      </c>
    </row>
    <row r="50" spans="1:10" x14ac:dyDescent="0.2">
      <c r="A50" s="2" t="s">
        <v>31</v>
      </c>
      <c r="B50" s="2">
        <v>2</v>
      </c>
      <c r="C50" s="2">
        <v>70</v>
      </c>
      <c r="D50" s="16">
        <f t="shared" si="0"/>
        <v>35</v>
      </c>
      <c r="E50" s="16" cm="1">
        <f t="array" ref="E50">_xlfn.IFS(I50=BUYS!$A$2,SALES!D50-BUYS!$E$2,I50=BUYS!$A$3,SALES!D50-BUYS!$E$3,I50=BUYS!$A$4,SALES!D50-BUYS!$E$4,I50=BUYS!$A$5,SALES!D50-BUYS!$E$5,I50=BUYS!$A$6,SALES!D50-BUYS!$E$6,I50=BUYS!$A$7,SALES!D50-BUYS!$E$7,I50=BUYS!$A$8,SALES!D50-BUYS!$E$8,I50=BUYS!$A$9,SALES!D50-BUYS!$E$9)</f>
        <v>13.571428571428573</v>
      </c>
      <c r="F50" s="16">
        <f t="shared" si="1"/>
        <v>27.142857142857146</v>
      </c>
      <c r="G50" s="9" t="s">
        <v>9</v>
      </c>
      <c r="H50" s="2" t="s">
        <v>30</v>
      </c>
      <c r="I50" s="9">
        <v>44466</v>
      </c>
      <c r="J50" s="9">
        <v>44467</v>
      </c>
    </row>
    <row r="51" spans="1:10" x14ac:dyDescent="0.2">
      <c r="A51" s="2" t="s">
        <v>67</v>
      </c>
      <c r="B51" s="2">
        <v>2</v>
      </c>
      <c r="C51" s="2">
        <v>20</v>
      </c>
      <c r="D51" s="16">
        <f t="shared" si="0"/>
        <v>10</v>
      </c>
      <c r="E51" s="16" cm="1">
        <f t="array" ref="E51">_xlfn.IFS(I51=BUYS!$A$2,SALES!D51-BUYS!$E$2,I51=BUYS!$A$3,SALES!D51-BUYS!$E$3,I51=BUYS!$A$4,SALES!D51-BUYS!$E$4,I51=BUYS!$A$5,SALES!D51-BUYS!$E$5,I51=BUYS!$A$6,SALES!D51-BUYS!$E$6,I51=BUYS!$A$7,SALES!D51-BUYS!$E$7,I51=BUYS!$A$8,SALES!D51-BUYS!$E$8,I51=BUYS!$A$9,SALES!D51-BUYS!$E$9)</f>
        <v>3.75</v>
      </c>
      <c r="F51" s="16">
        <f t="shared" si="1"/>
        <v>7.5</v>
      </c>
      <c r="G51" s="27" t="s">
        <v>10</v>
      </c>
      <c r="H51" s="2" t="s">
        <v>29</v>
      </c>
      <c r="I51" s="9">
        <v>44453</v>
      </c>
      <c r="J51" s="9">
        <v>44467</v>
      </c>
    </row>
    <row r="52" spans="1:10" x14ac:dyDescent="0.2">
      <c r="A52" s="2" t="s">
        <v>44</v>
      </c>
      <c r="B52" s="2">
        <v>1</v>
      </c>
      <c r="C52" s="2">
        <v>45</v>
      </c>
      <c r="D52" s="16">
        <f t="shared" si="0"/>
        <v>45</v>
      </c>
      <c r="E52" s="16" cm="1">
        <f t="array" ref="E52">_xlfn.IFS(I52=BUYS!$A$2,SALES!D52-BUYS!$E$2,I52=BUYS!$A$3,SALES!D52-BUYS!$E$3,I52=BUYS!$A$4,SALES!D52-BUYS!$E$4,I52=BUYS!$A$5,SALES!D52-BUYS!$E$5,I52=BUYS!$A$6,SALES!D52-BUYS!$E$6,I52=BUYS!$A$7,SALES!D52-BUYS!$E$7,I52=BUYS!$A$8,SALES!D52-BUYS!$E$8,I52=BUYS!$A$9,SALES!D52-BUYS!$E$9)</f>
        <v>23.571428571428573</v>
      </c>
      <c r="F52" s="16">
        <f t="shared" si="1"/>
        <v>23.571428571428573</v>
      </c>
      <c r="G52" s="9" t="s">
        <v>9</v>
      </c>
      <c r="H52" s="2" t="s">
        <v>30</v>
      </c>
      <c r="I52" s="9">
        <v>44466</v>
      </c>
      <c r="J52" s="9">
        <v>44469</v>
      </c>
    </row>
    <row r="53" spans="1:10" x14ac:dyDescent="0.2">
      <c r="A53" s="2" t="s">
        <v>69</v>
      </c>
      <c r="B53" s="2">
        <v>14</v>
      </c>
      <c r="C53" s="2">
        <v>110</v>
      </c>
      <c r="D53" s="16">
        <f t="shared" si="0"/>
        <v>7.8571428571428568</v>
      </c>
      <c r="E53" s="16" cm="1">
        <f t="array" ref="E53">_xlfn.IFS(I53=BUYS!$A$2,SALES!D53-BUYS!$E$2,I53=BUYS!$A$3,SALES!D53-BUYS!$E$3,I53=BUYS!$A$4,SALES!D53-BUYS!$E$4,I53=BUYS!$A$5,SALES!D53-BUYS!$E$5,I53=BUYS!$A$6,SALES!D53-BUYS!$E$6,I53=BUYS!$A$7,SALES!D53-BUYS!$E$7,I53=BUYS!$A$8,SALES!D53-BUYS!$E$8,I53=BUYS!$A$9,SALES!D53-BUYS!$E$9)</f>
        <v>1.6071428571428568</v>
      </c>
      <c r="F53" s="16">
        <f t="shared" si="1"/>
        <v>22.499999999999993</v>
      </c>
      <c r="G53" s="9" t="s">
        <v>9</v>
      </c>
      <c r="H53" s="2" t="s">
        <v>29</v>
      </c>
      <c r="I53" s="9">
        <v>44453</v>
      </c>
      <c r="J53" s="9">
        <v>44470</v>
      </c>
    </row>
    <row r="54" spans="1:10" x14ac:dyDescent="0.2">
      <c r="A54" s="2" t="s">
        <v>70</v>
      </c>
      <c r="B54" s="2">
        <v>7</v>
      </c>
      <c r="C54" s="2">
        <v>45</v>
      </c>
      <c r="D54" s="16">
        <f t="shared" si="0"/>
        <v>6.4285714285714288</v>
      </c>
      <c r="E54" s="16" cm="1">
        <f t="array" ref="E54">_xlfn.IFS(I54=BUYS!$A$2,SALES!D54-BUYS!$E$2,I54=BUYS!$A$3,SALES!D54-BUYS!$E$3,I54=BUYS!$A$4,SALES!D54-BUYS!$E$4,I54=BUYS!$A$5,SALES!D54-BUYS!$E$5,I54=BUYS!$A$6,SALES!D54-BUYS!$E$6,I54=BUYS!$A$7,SALES!D54-BUYS!$E$7,I54=BUYS!$A$8,SALES!D54-BUYS!$E$8,I54=BUYS!$A$9,SALES!D54-BUYS!$E$9)</f>
        <v>0.17857142857142883</v>
      </c>
      <c r="F54" s="16">
        <f t="shared" si="1"/>
        <v>1.2500000000000018</v>
      </c>
      <c r="G54" s="9" t="s">
        <v>9</v>
      </c>
      <c r="H54" s="2" t="s">
        <v>29</v>
      </c>
      <c r="I54" s="9">
        <v>44453</v>
      </c>
      <c r="J54" s="9">
        <v>44472</v>
      </c>
    </row>
    <row r="55" spans="1:10" x14ac:dyDescent="0.2">
      <c r="A55" s="2" t="s">
        <v>1</v>
      </c>
      <c r="B55" s="2">
        <v>5</v>
      </c>
      <c r="C55" s="2">
        <v>45</v>
      </c>
      <c r="D55" s="16">
        <f t="shared" si="0"/>
        <v>9</v>
      </c>
      <c r="E55" s="16" cm="1">
        <f t="array" ref="E55">_xlfn.IFS(I55=BUYS!$A$2,SALES!D55-BUYS!$E$2,I55=BUYS!$A$3,SALES!D55-BUYS!$E$3,I55=BUYS!$A$4,SALES!D55-BUYS!$E$4,I55=BUYS!$A$5,SALES!D55-BUYS!$E$5,I55=BUYS!$A$6,SALES!D55-BUYS!$E$6,I55=BUYS!$A$7,SALES!D55-BUYS!$E$7,I55=BUYS!$A$8,SALES!D55-BUYS!$E$8,I55=BUYS!$A$9,SALES!D55-BUYS!$E$9)</f>
        <v>2.75</v>
      </c>
      <c r="F55" s="16">
        <f t="shared" si="1"/>
        <v>13.75</v>
      </c>
      <c r="G55" s="9" t="s">
        <v>9</v>
      </c>
      <c r="H55" s="2" t="s">
        <v>29</v>
      </c>
      <c r="I55" s="9">
        <v>44453</v>
      </c>
      <c r="J55" s="9">
        <v>44471</v>
      </c>
    </row>
    <row r="56" spans="1:10" x14ac:dyDescent="0.2">
      <c r="A56" s="2" t="s">
        <v>71</v>
      </c>
      <c r="B56" s="2">
        <v>7</v>
      </c>
      <c r="C56" s="2">
        <v>70</v>
      </c>
      <c r="D56" s="16">
        <f t="shared" si="0"/>
        <v>10</v>
      </c>
      <c r="E56" s="16" cm="1">
        <f t="array" ref="E56">_xlfn.IFS(I56=BUYS!$A$2,SALES!D56-BUYS!$E$2,I56=BUYS!$A$3,SALES!D56-BUYS!$E$3,I56=BUYS!$A$4,SALES!D56-BUYS!$E$4,I56=BUYS!$A$5,SALES!D56-BUYS!$E$5,I56=BUYS!$A$6,SALES!D56-BUYS!$E$6,I56=BUYS!$A$7,SALES!D56-BUYS!$E$7,I56=BUYS!$A$8,SALES!D56-BUYS!$E$8,I56=BUYS!$A$9,SALES!D56-BUYS!$E$9)</f>
        <v>3.75</v>
      </c>
      <c r="F56" s="16">
        <f t="shared" si="1"/>
        <v>26.25</v>
      </c>
      <c r="G56" s="9" t="s">
        <v>9</v>
      </c>
      <c r="H56" s="2" t="s">
        <v>29</v>
      </c>
      <c r="I56" s="9">
        <v>44453</v>
      </c>
      <c r="J56" s="9">
        <v>44471</v>
      </c>
    </row>
    <row r="57" spans="1:10" x14ac:dyDescent="0.2">
      <c r="A57" s="2" t="s">
        <v>72</v>
      </c>
      <c r="B57" s="2">
        <v>4</v>
      </c>
      <c r="C57" s="2">
        <v>40</v>
      </c>
      <c r="D57" s="16">
        <f t="shared" si="0"/>
        <v>10</v>
      </c>
      <c r="E57" s="16" cm="1">
        <f t="array" ref="E57">_xlfn.IFS(I57=BUYS!$A$2,SALES!D57-BUYS!$E$2,I57=BUYS!$A$3,SALES!D57-BUYS!$E$3,I57=BUYS!$A$4,SALES!D57-BUYS!$E$4,I57=BUYS!$A$5,SALES!D57-BUYS!$E$5,I57=BUYS!$A$6,SALES!D57-BUYS!$E$6,I57=BUYS!$A$7,SALES!D57-BUYS!$E$7,I57=BUYS!$A$8,SALES!D57-BUYS!$E$8,I57=BUYS!$A$9,SALES!D57-BUYS!$E$9)</f>
        <v>3.75</v>
      </c>
      <c r="F57" s="16">
        <f t="shared" si="1"/>
        <v>15</v>
      </c>
      <c r="G57" s="9" t="s">
        <v>9</v>
      </c>
      <c r="H57" s="2" t="s">
        <v>29</v>
      </c>
      <c r="I57" s="9">
        <v>44453</v>
      </c>
      <c r="J57" s="9">
        <v>44471</v>
      </c>
    </row>
    <row r="58" spans="1:10" x14ac:dyDescent="0.2">
      <c r="A58" s="2" t="s">
        <v>31</v>
      </c>
      <c r="B58" s="2">
        <v>5</v>
      </c>
      <c r="C58" s="2">
        <v>165</v>
      </c>
      <c r="D58" s="16">
        <f t="shared" si="0"/>
        <v>33</v>
      </c>
      <c r="E58" s="16" cm="1">
        <f t="array" ref="E58">_xlfn.IFS(I58=BUYS!$A$2,SALES!D58-BUYS!$E$2,I58=BUYS!$A$3,SALES!D58-BUYS!$E$3,I58=BUYS!$A$4,SALES!D58-BUYS!$E$4,I58=BUYS!$A$5,SALES!D58-BUYS!$E$5,I58=BUYS!$A$6,SALES!D58-BUYS!$E$6,I58=BUYS!$A$7,SALES!D58-BUYS!$E$7,I58=BUYS!$A$8,SALES!D58-BUYS!$E$8,I58=BUYS!$A$9,SALES!D58-BUYS!$E$9)</f>
        <v>11.571428571428573</v>
      </c>
      <c r="F58" s="16">
        <f t="shared" si="1"/>
        <v>57.857142857142861</v>
      </c>
      <c r="G58" s="9" t="s">
        <v>9</v>
      </c>
      <c r="H58" s="2" t="s">
        <v>30</v>
      </c>
      <c r="I58" s="9">
        <v>44466</v>
      </c>
      <c r="J58" s="9">
        <v>44477</v>
      </c>
    </row>
    <row r="59" spans="1:10" x14ac:dyDescent="0.2">
      <c r="A59" s="2" t="s">
        <v>73</v>
      </c>
      <c r="B59" s="2">
        <v>7</v>
      </c>
      <c r="C59" s="2">
        <v>70</v>
      </c>
      <c r="D59" s="16">
        <f t="shared" si="0"/>
        <v>10</v>
      </c>
      <c r="E59" s="16" cm="1">
        <f t="array" ref="E59">_xlfn.IFS(I59=BUYS!$A$2,SALES!D59-BUYS!$E$2,I59=BUYS!$A$3,SALES!D59-BUYS!$E$3,I59=BUYS!$A$4,SALES!D59-BUYS!$E$4,I59=BUYS!$A$5,SALES!D59-BUYS!$E$5,I59=BUYS!$A$6,SALES!D59-BUYS!$E$6,I59=BUYS!$A$7,SALES!D59-BUYS!$E$7,I59=BUYS!$A$8,SALES!D59-BUYS!$E$8,I59=BUYS!$A$9,SALES!D59-BUYS!$E$9)</f>
        <v>3.75</v>
      </c>
      <c r="F59" s="16">
        <f t="shared" si="1"/>
        <v>26.25</v>
      </c>
      <c r="G59" s="9" t="s">
        <v>9</v>
      </c>
      <c r="H59" s="2" t="s">
        <v>29</v>
      </c>
      <c r="I59" s="9">
        <v>44453</v>
      </c>
      <c r="J59" s="9">
        <v>44463</v>
      </c>
    </row>
    <row r="60" spans="1:10" x14ac:dyDescent="0.2">
      <c r="A60" s="2" t="s">
        <v>73</v>
      </c>
      <c r="B60" s="2">
        <v>14</v>
      </c>
      <c r="C60" s="2">
        <v>125</v>
      </c>
      <c r="D60" s="16">
        <f t="shared" si="0"/>
        <v>8.9285714285714288</v>
      </c>
      <c r="E60" s="16" cm="1">
        <f t="array" ref="E60">_xlfn.IFS(I60=BUYS!$A$2,SALES!D60-BUYS!$E$2,I60=BUYS!$A$3,SALES!D60-BUYS!$E$3,I60=BUYS!$A$4,SALES!D60-BUYS!$E$4,I60=BUYS!$A$5,SALES!D60-BUYS!$E$5,I60=BUYS!$A$6,SALES!D60-BUYS!$E$6,I60=BUYS!$A$7,SALES!D60-BUYS!$E$7,I60=BUYS!$A$8,SALES!D60-BUYS!$E$8,I60=BUYS!$A$9,SALES!D60-BUYS!$E$9)</f>
        <v>2.6785714285714288</v>
      </c>
      <c r="F60" s="16">
        <f t="shared" si="1"/>
        <v>37.5</v>
      </c>
      <c r="G60" s="9" t="s">
        <v>9</v>
      </c>
      <c r="H60" s="2" t="s">
        <v>29</v>
      </c>
      <c r="I60" s="9">
        <v>44477</v>
      </c>
      <c r="J60" s="9">
        <v>44477</v>
      </c>
    </row>
    <row r="61" spans="1:10" x14ac:dyDescent="0.2">
      <c r="A61" s="2" t="s">
        <v>74</v>
      </c>
      <c r="B61" s="2">
        <v>10</v>
      </c>
      <c r="C61" s="2">
        <v>90</v>
      </c>
      <c r="D61" s="16">
        <f t="shared" si="0"/>
        <v>9</v>
      </c>
      <c r="E61" s="16" cm="1">
        <f t="array" ref="E61">_xlfn.IFS(I61=BUYS!$A$2,SALES!D61-BUYS!$E$2,I61=BUYS!$A$3,SALES!D61-BUYS!$E$3,I61=BUYS!$A$4,SALES!D61-BUYS!$E$4,I61=BUYS!$A$5,SALES!D61-BUYS!$E$5,I61=BUYS!$A$6,SALES!D61-BUYS!$E$6,I61=BUYS!$A$7,SALES!D61-BUYS!$E$7,I61=BUYS!$A$8,SALES!D61-BUYS!$E$8,I61=BUYS!$A$9,SALES!D61-BUYS!$E$9)</f>
        <v>2.75</v>
      </c>
      <c r="F61" s="16">
        <f t="shared" si="1"/>
        <v>27.5</v>
      </c>
      <c r="G61" s="9" t="s">
        <v>9</v>
      </c>
      <c r="H61" s="2" t="s">
        <v>29</v>
      </c>
      <c r="I61" s="9">
        <v>44477</v>
      </c>
      <c r="J61" s="9">
        <v>44477</v>
      </c>
    </row>
    <row r="62" spans="1:10" x14ac:dyDescent="0.2">
      <c r="A62" s="2" t="s">
        <v>75</v>
      </c>
      <c r="B62" s="2">
        <v>4</v>
      </c>
      <c r="C62" s="2">
        <v>40</v>
      </c>
      <c r="D62" s="16">
        <f t="shared" si="0"/>
        <v>10</v>
      </c>
      <c r="E62" s="16" cm="1">
        <f t="array" ref="E62">_xlfn.IFS(I62=BUYS!$A$2,SALES!D62-BUYS!$E$2,I62=BUYS!$A$3,SALES!D62-BUYS!$E$3,I62=BUYS!$A$4,SALES!D62-BUYS!$E$4,I62=BUYS!$A$5,SALES!D62-BUYS!$E$5,I62=BUYS!$A$6,SALES!D62-BUYS!$E$6,I62=BUYS!$A$7,SALES!D62-BUYS!$E$7,I62=BUYS!$A$8,SALES!D62-BUYS!$E$8,I62=BUYS!$A$9,SALES!D62-BUYS!$E$9)</f>
        <v>3.75</v>
      </c>
      <c r="F62" s="16">
        <f t="shared" si="1"/>
        <v>15</v>
      </c>
      <c r="G62" s="9" t="s">
        <v>9</v>
      </c>
      <c r="H62" s="2" t="s">
        <v>29</v>
      </c>
      <c r="I62" s="9">
        <v>44477</v>
      </c>
      <c r="J62" s="9">
        <v>44477</v>
      </c>
    </row>
    <row r="63" spans="1:10" x14ac:dyDescent="0.2">
      <c r="A63" s="2" t="s">
        <v>76</v>
      </c>
      <c r="B63" s="2">
        <v>14</v>
      </c>
      <c r="C63" s="2">
        <v>100</v>
      </c>
      <c r="D63" s="16">
        <f t="shared" si="0"/>
        <v>7.1428571428571432</v>
      </c>
      <c r="E63" s="16" cm="1">
        <f t="array" ref="E63">_xlfn.IFS(I63=BUYS!$A$2,SALES!D63-BUYS!$E$2,I63=BUYS!$A$3,SALES!D63-BUYS!$E$3,I63=BUYS!$A$4,SALES!D63-BUYS!$E$4,I63=BUYS!$A$5,SALES!D63-BUYS!$E$5,I63=BUYS!$A$6,SALES!D63-BUYS!$E$6,I63=BUYS!$A$7,SALES!D63-BUYS!$E$7,I63=BUYS!$A$8,SALES!D63-BUYS!$E$8,I63=BUYS!$A$9,SALES!D63-BUYS!$E$9)</f>
        <v>0.89285714285714324</v>
      </c>
      <c r="F63" s="16">
        <f t="shared" si="1"/>
        <v>12.500000000000005</v>
      </c>
      <c r="G63" s="9" t="s">
        <v>9</v>
      </c>
      <c r="H63" s="2" t="s">
        <v>29</v>
      </c>
      <c r="I63" s="9">
        <v>44477</v>
      </c>
      <c r="J63" s="9">
        <v>44478</v>
      </c>
    </row>
    <row r="64" spans="1:10" x14ac:dyDescent="0.2">
      <c r="A64" s="2" t="s">
        <v>70</v>
      </c>
      <c r="B64" s="2">
        <v>3.5</v>
      </c>
      <c r="C64" s="2">
        <v>20</v>
      </c>
      <c r="D64" s="16">
        <f t="shared" si="0"/>
        <v>5.7142857142857144</v>
      </c>
      <c r="E64" s="16" cm="1">
        <f t="array" ref="E64">_xlfn.IFS(I64=BUYS!$A$2,SALES!D64-BUYS!$E$2,I64=BUYS!$A$3,SALES!D64-BUYS!$E$3,I64=BUYS!$A$4,SALES!D64-BUYS!$E$4,I64=BUYS!$A$5,SALES!D64-BUYS!$E$5,I64=BUYS!$A$6,SALES!D64-BUYS!$E$6,I64=BUYS!$A$7,SALES!D64-BUYS!$E$7,I64=BUYS!$A$8,SALES!D64-BUYS!$E$8,I64=BUYS!$A$9,SALES!D64-BUYS!$E$9)</f>
        <v>-0.53571428571428559</v>
      </c>
      <c r="F64" s="16">
        <f t="shared" si="1"/>
        <v>-1.8749999999999996</v>
      </c>
      <c r="G64" s="9" t="s">
        <v>10</v>
      </c>
      <c r="H64" s="2" t="s">
        <v>29</v>
      </c>
      <c r="I64" s="9">
        <v>44477</v>
      </c>
      <c r="J64" s="9">
        <v>44479</v>
      </c>
    </row>
    <row r="65" spans="1:10" x14ac:dyDescent="0.2">
      <c r="A65" s="2" t="s">
        <v>23</v>
      </c>
      <c r="B65" s="2">
        <v>7</v>
      </c>
      <c r="C65" s="2">
        <v>65</v>
      </c>
      <c r="D65" s="16">
        <f t="shared" si="0"/>
        <v>9.2857142857142865</v>
      </c>
      <c r="E65" s="16" cm="1">
        <f t="array" ref="E65">_xlfn.IFS(I65=BUYS!$A$2,SALES!D65-BUYS!$E$2,I65=BUYS!$A$3,SALES!D65-BUYS!$E$3,I65=BUYS!$A$4,SALES!D65-BUYS!$E$4,I65=BUYS!$A$5,SALES!D65-BUYS!$E$5,I65=BUYS!$A$6,SALES!D65-BUYS!$E$6,I65=BUYS!$A$7,SALES!D65-BUYS!$E$7,I65=BUYS!$A$8,SALES!D65-BUYS!$E$8,I65=BUYS!$A$9,SALES!D65-BUYS!$E$9)</f>
        <v>3.0357142857142865</v>
      </c>
      <c r="F65" s="16">
        <f t="shared" si="1"/>
        <v>21.250000000000007</v>
      </c>
      <c r="G65" s="9" t="s">
        <v>9</v>
      </c>
      <c r="H65" s="2" t="s">
        <v>29</v>
      </c>
      <c r="I65" s="9">
        <v>44477</v>
      </c>
      <c r="J65" s="9">
        <v>44479</v>
      </c>
    </row>
    <row r="66" spans="1:10" x14ac:dyDescent="0.2">
      <c r="A66" s="2" t="s">
        <v>24</v>
      </c>
      <c r="B66" s="2">
        <v>7</v>
      </c>
      <c r="C66" s="2">
        <v>70</v>
      </c>
      <c r="D66" s="16">
        <f t="shared" si="0"/>
        <v>10</v>
      </c>
      <c r="E66" s="16" cm="1">
        <f t="array" ref="E66">_xlfn.IFS(I66=BUYS!$A$2,SALES!D66-BUYS!$E$2,I66=BUYS!$A$3,SALES!D66-BUYS!$E$3,I66=BUYS!$A$4,SALES!D66-BUYS!$E$4,I66=BUYS!$A$5,SALES!D66-BUYS!$E$5,I66=BUYS!$A$6,SALES!D66-BUYS!$E$6,I66=BUYS!$A$7,SALES!D66-BUYS!$E$7,I66=BUYS!$A$8,SALES!D66-BUYS!$E$8,I66=BUYS!$A$9,SALES!D66-BUYS!$E$9)</f>
        <v>3.75</v>
      </c>
      <c r="F66" s="16">
        <f t="shared" si="1"/>
        <v>26.25</v>
      </c>
      <c r="G66" s="9" t="s">
        <v>9</v>
      </c>
      <c r="H66" s="2" t="s">
        <v>29</v>
      </c>
      <c r="I66" s="9">
        <v>44477</v>
      </c>
      <c r="J66" s="9">
        <v>44478</v>
      </c>
    </row>
    <row r="67" spans="1:10" x14ac:dyDescent="0.2">
      <c r="A67" s="2" t="s">
        <v>22</v>
      </c>
      <c r="B67" s="2">
        <v>3.5</v>
      </c>
      <c r="C67" s="2">
        <v>30</v>
      </c>
      <c r="D67" s="16">
        <f t="shared" si="0"/>
        <v>8.5714285714285712</v>
      </c>
      <c r="E67" s="16" cm="1">
        <f t="array" ref="E67">_xlfn.IFS(I67=BUYS!$A$2,SALES!D67-BUYS!$E$2,I67=BUYS!$A$3,SALES!D67-BUYS!$E$3,I67=BUYS!$A$4,SALES!D67-BUYS!$E$4,I67=BUYS!$A$5,SALES!D67-BUYS!$E$5,I67=BUYS!$A$6,SALES!D67-BUYS!$E$6,I67=BUYS!$A$7,SALES!D67-BUYS!$E$7,I67=BUYS!$A$8,SALES!D67-BUYS!$E$8,I67=BUYS!$A$9,SALES!D67-BUYS!$E$9)</f>
        <v>2.3214285714285712</v>
      </c>
      <c r="F67" s="16">
        <f t="shared" si="1"/>
        <v>8.125</v>
      </c>
      <c r="G67" s="9" t="s">
        <v>10</v>
      </c>
      <c r="H67" s="2" t="s">
        <v>29</v>
      </c>
      <c r="I67" s="9">
        <v>44477</v>
      </c>
      <c r="J67" s="9">
        <v>44479</v>
      </c>
    </row>
    <row r="68" spans="1:10" x14ac:dyDescent="0.2">
      <c r="A68" s="2" t="s">
        <v>77</v>
      </c>
      <c r="B68" s="2">
        <v>2</v>
      </c>
      <c r="C68" s="2">
        <v>20</v>
      </c>
      <c r="D68" s="16">
        <f t="shared" si="0"/>
        <v>10</v>
      </c>
      <c r="E68" s="16" cm="1">
        <f t="array" ref="E68">_xlfn.IFS(I68=BUYS!$A$2,SALES!D68-BUYS!$E$2,I68=BUYS!$A$3,SALES!D68-BUYS!$E$3,I68=BUYS!$A$4,SALES!D68-BUYS!$E$4,I68=BUYS!$A$5,SALES!D68-BUYS!$E$5,I68=BUYS!$A$6,SALES!D68-BUYS!$E$6,I68=BUYS!$A$7,SALES!D68-BUYS!$E$7,I68=BUYS!$A$8,SALES!D68-BUYS!$E$8,I68=BUYS!$A$9,SALES!D68-BUYS!$E$9)</f>
        <v>3.75</v>
      </c>
      <c r="F68" s="16">
        <f t="shared" si="1"/>
        <v>7.5</v>
      </c>
      <c r="G68" s="9" t="s">
        <v>10</v>
      </c>
      <c r="H68" s="2" t="s">
        <v>29</v>
      </c>
      <c r="I68" s="9">
        <v>44477</v>
      </c>
      <c r="J68" s="9">
        <v>44479</v>
      </c>
    </row>
    <row r="69" spans="1:10" x14ac:dyDescent="0.2">
      <c r="A69" s="2" t="s">
        <v>42</v>
      </c>
      <c r="B69" s="2">
        <v>47</v>
      </c>
      <c r="C69" s="2">
        <v>294</v>
      </c>
      <c r="D69" s="16">
        <f t="shared" si="0"/>
        <v>6.2553191489361701</v>
      </c>
      <c r="E69" s="16" cm="1">
        <f t="array" ref="E69">_xlfn.IFS(I69=BUYS!$A$2,SALES!D69-BUYS!$E$2,I69=BUYS!$A$3,SALES!D69-BUYS!$E$3,I69=BUYS!$A$4,SALES!D69-BUYS!$E$4,I69=BUYS!$A$5,SALES!D69-BUYS!$E$5,I69=BUYS!$A$6,SALES!D69-BUYS!$E$6,I69=BUYS!$A$7,SALES!D69-BUYS!$E$7,I69=BUYS!$A$8,SALES!D69-BUYS!$E$8,I69=BUYS!$A$9,SALES!D69-BUYS!$E$9)</f>
        <v>5.3191489361701372E-3</v>
      </c>
      <c r="F69" s="16">
        <f t="shared" si="1"/>
        <v>0.24999999999999645</v>
      </c>
      <c r="G69" s="9" t="s">
        <v>9</v>
      </c>
      <c r="H69" s="2" t="s">
        <v>29</v>
      </c>
      <c r="I69" s="9">
        <v>44477</v>
      </c>
      <c r="J69" s="9">
        <v>44479</v>
      </c>
    </row>
    <row r="70" spans="1:10" x14ac:dyDescent="0.2">
      <c r="A70" s="2" t="s">
        <v>24</v>
      </c>
      <c r="B70" s="2">
        <v>1</v>
      </c>
      <c r="C70" s="2">
        <v>45</v>
      </c>
      <c r="D70" s="16">
        <f t="shared" si="0"/>
        <v>45</v>
      </c>
      <c r="E70" s="16" cm="1">
        <f t="array" ref="E70">_xlfn.IFS(I70=BUYS!$A$2,SALES!D70-BUYS!$E$2,I70=BUYS!$A$3,SALES!D70-BUYS!$E$3,I70=BUYS!$A$4,SALES!D70-BUYS!$E$4,I70=BUYS!$A$5,SALES!D70-BUYS!$E$5,I70=BUYS!$A$6,SALES!D70-BUYS!$E$6,I70=BUYS!$A$7,SALES!D70-BUYS!$E$7,I70=BUYS!$A$8,SALES!D70-BUYS!$E$8,I70=BUYS!$A$9,SALES!D70-BUYS!$E$9)</f>
        <v>23.571428571428573</v>
      </c>
      <c r="F70" s="16">
        <f t="shared" si="1"/>
        <v>23.571428571428573</v>
      </c>
      <c r="G70" s="9" t="s">
        <v>9</v>
      </c>
      <c r="H70" s="2" t="s">
        <v>30</v>
      </c>
      <c r="I70" s="9">
        <v>44466</v>
      </c>
      <c r="J70" s="9">
        <v>44482</v>
      </c>
    </row>
    <row r="71" spans="1:10" x14ac:dyDescent="0.2">
      <c r="A71" s="2" t="s">
        <v>79</v>
      </c>
      <c r="B71" s="2">
        <v>4.3</v>
      </c>
      <c r="C71" s="2">
        <v>150</v>
      </c>
      <c r="D71" s="16">
        <f t="shared" si="0"/>
        <v>34.883720930232556</v>
      </c>
      <c r="E71" s="16" cm="1">
        <f t="array" ref="E71">_xlfn.IFS(I71=BUYS!$A$2,SALES!D71-BUYS!$E$2,I71=BUYS!$A$3,SALES!D71-BUYS!$E$3,I71=BUYS!$A$4,SALES!D71-BUYS!$E$4,I71=BUYS!$A$5,SALES!D71-BUYS!$E$5,I71=BUYS!$A$6,SALES!D71-BUYS!$E$6,I71=BUYS!$A$7,SALES!D71-BUYS!$E$7,I71=BUYS!$A$8,SALES!D71-BUYS!$E$8,I71=BUYS!$A$9,SALES!D71-BUYS!$E$9)</f>
        <v>13.455149501661129</v>
      </c>
      <c r="F71" s="16">
        <f t="shared" si="1"/>
        <v>57.857142857142854</v>
      </c>
      <c r="G71" s="9" t="s">
        <v>12</v>
      </c>
      <c r="H71" s="2" t="s">
        <v>30</v>
      </c>
      <c r="I71" s="9">
        <v>44466</v>
      </c>
      <c r="J71" s="9">
        <v>44486</v>
      </c>
    </row>
    <row r="72" spans="1:10" x14ac:dyDescent="0.2">
      <c r="A72" s="2" t="s">
        <v>52</v>
      </c>
      <c r="B72" s="2">
        <v>1</v>
      </c>
      <c r="C72" s="2">
        <v>0</v>
      </c>
      <c r="D72" s="16">
        <f t="shared" si="0"/>
        <v>0</v>
      </c>
      <c r="E72" s="16" cm="1">
        <f t="array" ref="E72">_xlfn.IFS(I72=BUYS!$A$2,SALES!D72-BUYS!$E$2,I72=BUYS!$A$3,SALES!D72-BUYS!$E$3,I72=BUYS!$A$4,SALES!D72-BUYS!$E$4,I72=BUYS!$A$5,SALES!D72-BUYS!$E$5,I72=BUYS!$A$6,SALES!D72-BUYS!$E$6,I72=BUYS!$A$7,SALES!D72-BUYS!$E$7,I72=BUYS!$A$8,SALES!D72-BUYS!$E$8,I72=BUYS!$A$9,SALES!D72-BUYS!$E$9)</f>
        <v>-21.428571428571427</v>
      </c>
      <c r="F72" s="16">
        <f t="shared" si="1"/>
        <v>-21.428571428571427</v>
      </c>
      <c r="G72" s="9" t="s">
        <v>80</v>
      </c>
      <c r="H72" s="2" t="s">
        <v>30</v>
      </c>
      <c r="I72" s="9">
        <v>44466</v>
      </c>
      <c r="J72" s="9">
        <v>44486</v>
      </c>
    </row>
    <row r="73" spans="1:10" x14ac:dyDescent="0.2">
      <c r="A73" s="2" t="s">
        <v>71</v>
      </c>
      <c r="B73" s="2">
        <v>7</v>
      </c>
      <c r="C73" s="2">
        <v>65</v>
      </c>
      <c r="D73" s="16">
        <f t="shared" si="0"/>
        <v>9.2857142857142865</v>
      </c>
      <c r="E73" s="16"/>
      <c r="F73" s="16"/>
      <c r="G73" s="9" t="s">
        <v>9</v>
      </c>
      <c r="H73" s="2" t="s">
        <v>29</v>
      </c>
      <c r="I73" s="9">
        <v>44487</v>
      </c>
      <c r="J73" s="9">
        <v>44487</v>
      </c>
    </row>
    <row r="74" spans="1:10" x14ac:dyDescent="0.2">
      <c r="A74" s="2" t="s">
        <v>74</v>
      </c>
      <c r="B74" s="2">
        <v>10</v>
      </c>
      <c r="C74" s="2">
        <v>90</v>
      </c>
      <c r="D74" s="16">
        <f t="shared" si="0"/>
        <v>9</v>
      </c>
      <c r="E74" s="16"/>
      <c r="F74" s="16"/>
      <c r="G74" s="9" t="s">
        <v>9</v>
      </c>
      <c r="H74" s="2" t="s">
        <v>29</v>
      </c>
      <c r="I74" s="9">
        <v>44487</v>
      </c>
      <c r="J74" s="9">
        <v>44487</v>
      </c>
    </row>
    <row r="75" spans="1:10" x14ac:dyDescent="0.2">
      <c r="A75" s="2" t="s">
        <v>81</v>
      </c>
      <c r="B75" s="2">
        <v>7</v>
      </c>
      <c r="C75" s="2">
        <v>65</v>
      </c>
      <c r="D75" s="16">
        <f t="shared" si="0"/>
        <v>9.2857142857142865</v>
      </c>
      <c r="E75" s="16"/>
      <c r="F75" s="16"/>
      <c r="G75" s="9" t="s">
        <v>9</v>
      </c>
      <c r="H75" s="2" t="s">
        <v>29</v>
      </c>
      <c r="I75" s="9">
        <v>44487</v>
      </c>
      <c r="J75" s="9">
        <v>44487</v>
      </c>
    </row>
    <row r="76" spans="1:10" x14ac:dyDescent="0.2">
      <c r="A76" s="2" t="s">
        <v>44</v>
      </c>
      <c r="B76" s="2">
        <v>1</v>
      </c>
      <c r="C76" s="2">
        <v>40</v>
      </c>
      <c r="D76" s="16">
        <f t="shared" si="0"/>
        <v>40</v>
      </c>
      <c r="E76" s="16" cm="1">
        <f t="array" ref="E76">_xlfn.IFS(I76=BUYS!$A$2,SALES!D76-BUYS!$E$2,I76=BUYS!$A$3,SALES!D76-BUYS!$E$3,I76=BUYS!$A$4,SALES!D76-BUYS!$E$4,I76=BUYS!$A$5,SALES!D76-BUYS!$E$5,I76=BUYS!$A$6,SALES!D76-BUYS!$E$6,I76=BUYS!$A$7,SALES!D76-BUYS!$E$7,I76=BUYS!$A$8,SALES!D76-BUYS!$E$8,I76=BUYS!$A$9,SALES!D76-BUYS!$E$9)</f>
        <v>18.571428571428573</v>
      </c>
      <c r="F76" s="16">
        <f t="shared" ref="F76:F79" si="2">E76*B76</f>
        <v>18.571428571428573</v>
      </c>
      <c r="G76" s="9" t="s">
        <v>9</v>
      </c>
      <c r="H76" s="2" t="s">
        <v>30</v>
      </c>
      <c r="I76" s="9">
        <v>44466</v>
      </c>
      <c r="J76" s="9">
        <v>44487</v>
      </c>
    </row>
    <row r="77" spans="1:10" x14ac:dyDescent="0.2">
      <c r="A77" s="2" t="s">
        <v>77</v>
      </c>
      <c r="B77" s="2">
        <v>3</v>
      </c>
      <c r="C77" s="2">
        <v>25</v>
      </c>
      <c r="D77" s="16">
        <f t="shared" si="0"/>
        <v>8.3333333333333339</v>
      </c>
      <c r="E77" s="16"/>
      <c r="F77" s="16"/>
      <c r="G77" s="9" t="s">
        <v>12</v>
      </c>
      <c r="H77" s="2" t="s">
        <v>29</v>
      </c>
      <c r="I77" s="9">
        <v>44487</v>
      </c>
      <c r="J77" s="9">
        <v>44488</v>
      </c>
    </row>
    <row r="78" spans="1:10" x14ac:dyDescent="0.2">
      <c r="A78" s="2" t="s">
        <v>52</v>
      </c>
      <c r="B78" s="2">
        <v>7</v>
      </c>
      <c r="C78" s="2">
        <v>50</v>
      </c>
      <c r="D78" s="16">
        <f t="shared" si="0"/>
        <v>7.1428571428571432</v>
      </c>
      <c r="E78" s="16"/>
      <c r="F78" s="16"/>
      <c r="G78" s="9" t="s">
        <v>51</v>
      </c>
      <c r="H78" s="2" t="s">
        <v>29</v>
      </c>
      <c r="I78" s="9">
        <v>44487</v>
      </c>
      <c r="J78" s="9">
        <v>44488</v>
      </c>
    </row>
    <row r="79" spans="1:10" x14ac:dyDescent="0.2">
      <c r="A79" s="2" t="s">
        <v>38</v>
      </c>
      <c r="B79" s="2">
        <v>1</v>
      </c>
      <c r="C79" s="2">
        <v>40</v>
      </c>
      <c r="D79" s="16">
        <f t="shared" si="0"/>
        <v>40</v>
      </c>
      <c r="E79" s="16" cm="1">
        <f t="array" ref="E79">_xlfn.IFS(I79=BUYS!$A$2,SALES!D79-BUYS!$E$2,I79=BUYS!$A$3,SALES!D79-BUYS!$E$3,I79=BUYS!$A$4,SALES!D79-BUYS!$E$4,I79=BUYS!$A$5,SALES!D79-BUYS!$E$5,I79=BUYS!$A$6,SALES!D79-BUYS!$E$6,I79=BUYS!$A$7,SALES!D79-BUYS!$E$7,I79=BUYS!$A$8,SALES!D79-BUYS!$E$8,I79=BUYS!$A$9,SALES!D79-BUYS!$E$9)</f>
        <v>18.571428571428573</v>
      </c>
      <c r="F79" s="16">
        <f t="shared" si="2"/>
        <v>18.571428571428573</v>
      </c>
      <c r="G79" s="9" t="s">
        <v>9</v>
      </c>
      <c r="H79" s="2" t="s">
        <v>30</v>
      </c>
      <c r="I79" s="9">
        <v>44466</v>
      </c>
      <c r="J79" s="9">
        <v>44487</v>
      </c>
    </row>
    <row r="80" spans="1:10" x14ac:dyDescent="0.2">
      <c r="A80" s="2" t="s">
        <v>82</v>
      </c>
      <c r="B80" s="2">
        <v>0.5</v>
      </c>
      <c r="C80" s="2">
        <v>30</v>
      </c>
      <c r="D80" s="16">
        <f t="shared" si="0"/>
        <v>60</v>
      </c>
      <c r="G80" s="9" t="s">
        <v>10</v>
      </c>
      <c r="H80" s="2" t="s">
        <v>30</v>
      </c>
      <c r="I80" s="9">
        <v>44466</v>
      </c>
      <c r="J80" s="9">
        <v>44487</v>
      </c>
    </row>
    <row r="81" spans="1:10" x14ac:dyDescent="0.2">
      <c r="A81" s="2" t="s">
        <v>71</v>
      </c>
      <c r="B81" s="2">
        <v>14</v>
      </c>
      <c r="C81" s="2">
        <v>125</v>
      </c>
      <c r="D81" s="16">
        <f t="shared" si="0"/>
        <v>8.9285714285714288</v>
      </c>
      <c r="G81" s="9" t="s">
        <v>9</v>
      </c>
      <c r="H81" s="2" t="s">
        <v>29</v>
      </c>
      <c r="I81" s="9">
        <v>44487</v>
      </c>
      <c r="J81" s="9">
        <v>44490</v>
      </c>
    </row>
    <row r="82" spans="1:10" x14ac:dyDescent="0.2">
      <c r="A82" s="2" t="s">
        <v>31</v>
      </c>
      <c r="B82" s="2">
        <v>7</v>
      </c>
      <c r="C82" s="2">
        <v>245</v>
      </c>
      <c r="D82" s="16">
        <f t="shared" si="0"/>
        <v>35</v>
      </c>
      <c r="G82" s="9" t="s">
        <v>9</v>
      </c>
      <c r="H82" s="2" t="s">
        <v>30</v>
      </c>
      <c r="I82" s="9">
        <v>44482</v>
      </c>
      <c r="J82" s="9">
        <v>44491</v>
      </c>
    </row>
    <row r="83" spans="1:10" x14ac:dyDescent="0.2">
      <c r="A83" s="2" t="s">
        <v>22</v>
      </c>
      <c r="B83" s="2">
        <v>7</v>
      </c>
      <c r="C83" s="2">
        <v>65</v>
      </c>
      <c r="D83" s="16">
        <f t="shared" si="0"/>
        <v>9.2857142857142865</v>
      </c>
      <c r="G83" s="9" t="s">
        <v>9</v>
      </c>
      <c r="H83" s="2" t="s">
        <v>29</v>
      </c>
      <c r="I83" s="9">
        <v>44487</v>
      </c>
      <c r="J83" s="9">
        <v>44491</v>
      </c>
    </row>
    <row r="84" spans="1:10" x14ac:dyDescent="0.2">
      <c r="A84" s="2" t="s">
        <v>73</v>
      </c>
      <c r="B84" s="2">
        <v>14</v>
      </c>
      <c r="C84" s="2">
        <v>125</v>
      </c>
      <c r="D84" s="16">
        <f t="shared" si="0"/>
        <v>8.9285714285714288</v>
      </c>
      <c r="G84" s="9" t="s">
        <v>9</v>
      </c>
      <c r="H84" s="2" t="s">
        <v>29</v>
      </c>
      <c r="I84" s="9">
        <v>44492</v>
      </c>
      <c r="J84" s="9">
        <v>44492</v>
      </c>
    </row>
    <row r="85" spans="1:10" x14ac:dyDescent="0.2">
      <c r="A85" s="2" t="s">
        <v>73</v>
      </c>
      <c r="B85" s="2">
        <v>0.5</v>
      </c>
      <c r="C85" s="2">
        <v>25</v>
      </c>
      <c r="D85" s="16">
        <f t="shared" si="0"/>
        <v>50</v>
      </c>
      <c r="G85" s="9" t="s">
        <v>9</v>
      </c>
      <c r="H85" s="2" t="s">
        <v>30</v>
      </c>
      <c r="I85" s="9">
        <v>44466</v>
      </c>
      <c r="J85" s="9">
        <v>44492</v>
      </c>
    </row>
    <row r="86" spans="1:10" x14ac:dyDescent="0.2">
      <c r="A86" s="2" t="s">
        <v>82</v>
      </c>
      <c r="B86" s="2">
        <v>0.5</v>
      </c>
      <c r="C86" s="2">
        <v>25</v>
      </c>
      <c r="D86" s="16">
        <f t="shared" si="0"/>
        <v>50</v>
      </c>
      <c r="G86" s="9" t="s">
        <v>10</v>
      </c>
      <c r="H86" s="2" t="s">
        <v>30</v>
      </c>
      <c r="I86" s="9">
        <v>44466</v>
      </c>
      <c r="J86" s="9">
        <v>44492</v>
      </c>
    </row>
    <row r="87" spans="1:10" x14ac:dyDescent="0.2">
      <c r="A87" s="2" t="s">
        <v>38</v>
      </c>
      <c r="B87" s="2">
        <v>1</v>
      </c>
      <c r="C87" s="2">
        <v>40</v>
      </c>
      <c r="D87" s="16">
        <f t="shared" si="0"/>
        <v>40</v>
      </c>
      <c r="G87" s="9" t="s">
        <v>9</v>
      </c>
      <c r="H87" s="2" t="s">
        <v>30</v>
      </c>
      <c r="I87" s="9">
        <v>44482</v>
      </c>
      <c r="J87" s="9">
        <v>44493</v>
      </c>
    </row>
    <row r="88" spans="1:10" x14ac:dyDescent="0.2">
      <c r="A88" s="2" t="s">
        <v>56</v>
      </c>
      <c r="B88" s="2">
        <v>7</v>
      </c>
      <c r="C88" s="2">
        <v>75</v>
      </c>
      <c r="D88" s="16">
        <f t="shared" si="0"/>
        <v>10.714285714285714</v>
      </c>
      <c r="G88" s="9" t="s">
        <v>10</v>
      </c>
      <c r="H88" s="2" t="s">
        <v>29</v>
      </c>
      <c r="I88" s="9">
        <v>44492</v>
      </c>
      <c r="J88" s="9">
        <v>44494</v>
      </c>
    </row>
    <row r="89" spans="1:10" x14ac:dyDescent="0.2">
      <c r="A89" s="2" t="s">
        <v>83</v>
      </c>
      <c r="B89" s="2">
        <v>7</v>
      </c>
      <c r="C89" s="2">
        <v>65</v>
      </c>
      <c r="D89" s="16">
        <f t="shared" si="0"/>
        <v>9.2857142857142865</v>
      </c>
      <c r="G89" s="9" t="s">
        <v>9</v>
      </c>
      <c r="H89" s="2" t="s">
        <v>29</v>
      </c>
      <c r="I89" s="9">
        <v>44492</v>
      </c>
      <c r="J89" s="9">
        <v>44495</v>
      </c>
    </row>
    <row r="90" spans="1:10" x14ac:dyDescent="0.2">
      <c r="A90" s="2" t="s">
        <v>23</v>
      </c>
      <c r="B90" s="2">
        <v>7</v>
      </c>
      <c r="C90" s="2">
        <v>65</v>
      </c>
      <c r="D90" s="16">
        <f t="shared" si="0"/>
        <v>9.2857142857142865</v>
      </c>
      <c r="G90" s="9" t="s">
        <v>9</v>
      </c>
      <c r="H90" s="2" t="s">
        <v>29</v>
      </c>
      <c r="I90" s="9">
        <v>44492</v>
      </c>
      <c r="J90" s="9">
        <v>44496</v>
      </c>
    </row>
    <row r="91" spans="1:10" x14ac:dyDescent="0.2">
      <c r="A91" s="2" t="s">
        <v>84</v>
      </c>
      <c r="B91" s="2">
        <v>14</v>
      </c>
      <c r="C91" s="2">
        <v>85</v>
      </c>
      <c r="D91" s="16">
        <f t="shared" si="0"/>
        <v>6.0714285714285712</v>
      </c>
      <c r="G91" s="9" t="s">
        <v>51</v>
      </c>
      <c r="H91" s="2" t="s">
        <v>29</v>
      </c>
      <c r="I91" s="9">
        <v>44492</v>
      </c>
      <c r="J91" s="9">
        <v>44498</v>
      </c>
    </row>
    <row r="92" spans="1:10" x14ac:dyDescent="0.2">
      <c r="A92" s="2" t="s">
        <v>71</v>
      </c>
      <c r="B92" s="2">
        <v>7</v>
      </c>
      <c r="C92" s="2">
        <v>70</v>
      </c>
      <c r="D92" s="16">
        <f t="shared" si="0"/>
        <v>10</v>
      </c>
      <c r="G92" s="9" t="s">
        <v>9</v>
      </c>
      <c r="H92" s="2" t="s">
        <v>29</v>
      </c>
      <c r="I92" s="9">
        <v>44492</v>
      </c>
      <c r="J92" s="9">
        <v>44500</v>
      </c>
    </row>
    <row r="93" spans="1:10" x14ac:dyDescent="0.2">
      <c r="A93" s="2" t="s">
        <v>38</v>
      </c>
      <c r="B93" s="2">
        <v>1</v>
      </c>
      <c r="C93" s="2">
        <v>40</v>
      </c>
      <c r="D93" s="16">
        <f t="shared" si="0"/>
        <v>40</v>
      </c>
      <c r="G93" s="9" t="s">
        <v>10</v>
      </c>
      <c r="H93" s="2" t="s">
        <v>30</v>
      </c>
      <c r="I93" s="9">
        <v>44482</v>
      </c>
      <c r="J93" s="9">
        <v>44500</v>
      </c>
    </row>
    <row r="94" spans="1:10" x14ac:dyDescent="0.2">
      <c r="A94" s="2" t="s">
        <v>31</v>
      </c>
      <c r="B94" s="2">
        <v>7</v>
      </c>
      <c r="C94" s="2">
        <v>240</v>
      </c>
      <c r="D94" s="16">
        <f t="shared" si="0"/>
        <v>34.285714285714285</v>
      </c>
      <c r="G94" s="9" t="s">
        <v>9</v>
      </c>
      <c r="H94" s="2" t="s">
        <v>30</v>
      </c>
      <c r="I94" s="9">
        <v>44482</v>
      </c>
      <c r="J94" s="9">
        <v>44505</v>
      </c>
    </row>
    <row r="95" spans="1:10" x14ac:dyDescent="0.2">
      <c r="A95" s="2" t="s">
        <v>44</v>
      </c>
      <c r="B95" s="2">
        <v>2</v>
      </c>
      <c r="C95" s="2">
        <v>90</v>
      </c>
      <c r="D95" s="16">
        <f t="shared" si="0"/>
        <v>45</v>
      </c>
      <c r="G95" s="9" t="s">
        <v>9</v>
      </c>
      <c r="H95" s="2" t="s">
        <v>30</v>
      </c>
      <c r="I95" s="9">
        <v>44482</v>
      </c>
      <c r="J95" s="9">
        <v>44504</v>
      </c>
    </row>
    <row r="96" spans="1:10" x14ac:dyDescent="0.2">
      <c r="A96" s="2" t="s">
        <v>69</v>
      </c>
      <c r="B96" s="2">
        <v>4</v>
      </c>
      <c r="C96" s="2">
        <v>40</v>
      </c>
      <c r="D96" s="16">
        <f t="shared" si="0"/>
        <v>10</v>
      </c>
      <c r="G96" s="9" t="s">
        <v>9</v>
      </c>
      <c r="H96" s="2" t="s">
        <v>29</v>
      </c>
      <c r="I96" s="9">
        <v>44492</v>
      </c>
      <c r="J96" s="9">
        <v>44503</v>
      </c>
    </row>
    <row r="97" spans="1:10" x14ac:dyDescent="0.2">
      <c r="A97" s="2" t="s">
        <v>22</v>
      </c>
      <c r="B97" s="2">
        <v>3</v>
      </c>
      <c r="C97" s="2">
        <v>30</v>
      </c>
      <c r="D97" s="16">
        <f t="shared" si="0"/>
        <v>10</v>
      </c>
      <c r="G97" s="9" t="s">
        <v>9</v>
      </c>
      <c r="H97" s="2" t="s">
        <v>29</v>
      </c>
      <c r="I97" s="9">
        <v>44492</v>
      </c>
      <c r="J97" s="9">
        <v>44501</v>
      </c>
    </row>
    <row r="98" spans="1:10" x14ac:dyDescent="0.2">
      <c r="A98" s="2" t="s">
        <v>85</v>
      </c>
      <c r="B98" s="2">
        <v>7</v>
      </c>
      <c r="C98" s="2">
        <v>65</v>
      </c>
      <c r="D98" s="16">
        <f t="shared" si="0"/>
        <v>9.2857142857142865</v>
      </c>
      <c r="G98" s="9" t="s">
        <v>9</v>
      </c>
      <c r="H98" s="2" t="s">
        <v>29</v>
      </c>
      <c r="I98" s="9">
        <v>44492</v>
      </c>
      <c r="J98" s="9">
        <v>44500</v>
      </c>
    </row>
    <row r="99" spans="1:10" x14ac:dyDescent="0.2">
      <c r="A99" s="2" t="s">
        <v>1</v>
      </c>
      <c r="B99" s="2">
        <v>5</v>
      </c>
      <c r="C99" s="2">
        <v>45</v>
      </c>
      <c r="D99" s="16">
        <f t="shared" si="0"/>
        <v>9</v>
      </c>
      <c r="G99" s="9" t="s">
        <v>9</v>
      </c>
      <c r="H99" s="2" t="s">
        <v>29</v>
      </c>
      <c r="I99" s="9">
        <v>44492</v>
      </c>
      <c r="J99" s="9">
        <v>44507</v>
      </c>
    </row>
    <row r="100" spans="1:10" x14ac:dyDescent="0.2">
      <c r="A100" s="2" t="s">
        <v>1</v>
      </c>
      <c r="B100" s="2">
        <v>2</v>
      </c>
      <c r="C100" s="2">
        <v>20</v>
      </c>
      <c r="D100" s="16">
        <f t="shared" si="0"/>
        <v>10</v>
      </c>
      <c r="G100" s="9" t="s">
        <v>9</v>
      </c>
      <c r="H100" s="2" t="s">
        <v>29</v>
      </c>
      <c r="I100" s="9">
        <v>44506</v>
      </c>
      <c r="J100" s="9">
        <v>44507</v>
      </c>
    </row>
    <row r="101" spans="1:10" x14ac:dyDescent="0.2">
      <c r="A101" s="2" t="s">
        <v>82</v>
      </c>
      <c r="B101" s="2">
        <v>1</v>
      </c>
      <c r="C101" s="2">
        <v>65</v>
      </c>
      <c r="D101" s="16">
        <f t="shared" si="0"/>
        <v>65</v>
      </c>
      <c r="G101" s="9" t="s">
        <v>9</v>
      </c>
      <c r="H101" s="2" t="s">
        <v>30</v>
      </c>
      <c r="I101" s="9">
        <v>44482</v>
      </c>
      <c r="J101" s="9">
        <v>44507</v>
      </c>
    </row>
    <row r="102" spans="1:10" x14ac:dyDescent="0.2">
      <c r="A102" s="2" t="s">
        <v>38</v>
      </c>
      <c r="B102" s="2">
        <v>1</v>
      </c>
      <c r="C102" s="2">
        <v>40</v>
      </c>
      <c r="D102" s="16">
        <f t="shared" si="0"/>
        <v>40</v>
      </c>
      <c r="G102" s="9" t="s">
        <v>9</v>
      </c>
      <c r="H102" s="2" t="s">
        <v>30</v>
      </c>
      <c r="I102" s="9">
        <v>44508</v>
      </c>
      <c r="J102" s="9">
        <v>44508</v>
      </c>
    </row>
    <row r="103" spans="1:10" x14ac:dyDescent="0.2">
      <c r="A103" s="2" t="s">
        <v>44</v>
      </c>
      <c r="B103" s="2">
        <v>2</v>
      </c>
      <c r="C103" s="2">
        <v>90</v>
      </c>
      <c r="D103" s="16">
        <f t="shared" si="0"/>
        <v>45</v>
      </c>
      <c r="G103" s="9" t="s">
        <v>9</v>
      </c>
      <c r="H103" s="2" t="s">
        <v>30</v>
      </c>
      <c r="I103" s="9">
        <v>44482</v>
      </c>
      <c r="J103" s="9">
        <v>44508</v>
      </c>
    </row>
    <row r="104" spans="1:10" x14ac:dyDescent="0.2">
      <c r="A104" s="2" t="s">
        <v>23</v>
      </c>
      <c r="B104" s="2">
        <v>7</v>
      </c>
      <c r="C104" s="2">
        <v>65</v>
      </c>
      <c r="D104" s="16">
        <f t="shared" si="0"/>
        <v>9.2857142857142865</v>
      </c>
      <c r="G104" s="9" t="s">
        <v>9</v>
      </c>
      <c r="H104" s="2" t="s">
        <v>29</v>
      </c>
      <c r="I104" s="9">
        <v>44506</v>
      </c>
      <c r="J104" s="9">
        <v>44507</v>
      </c>
    </row>
  </sheetData>
  <autoFilter ref="A1:J76" xr:uid="{A163D602-16E5-D74B-B755-9E31CA43CD81}"/>
  <pageMargins left="0.7" right="0.7" top="0.75" bottom="0.75" header="0.3" footer="0.3"/>
  <ignoredErrors>
    <ignoredError sqref="F50" evalError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5DE4B-2607-1142-A51B-DD1794FDE49C}">
  <sheetPr codeName="Sheet2"/>
  <dimension ref="A1:E11"/>
  <sheetViews>
    <sheetView workbookViewId="0">
      <selection activeCell="D33" sqref="D33"/>
    </sheetView>
  </sheetViews>
  <sheetFormatPr baseColWidth="10" defaultRowHeight="16" x14ac:dyDescent="0.2"/>
  <cols>
    <col min="1" max="1" width="11" style="1" bestFit="1" customWidth="1"/>
    <col min="2" max="2" width="15" style="1" bestFit="1" customWidth="1"/>
    <col min="3" max="3" width="17.5" style="1" bestFit="1" customWidth="1"/>
    <col min="4" max="4" width="10.6640625" style="1" bestFit="1" customWidth="1"/>
    <col min="5" max="5" width="14" style="1" bestFit="1" customWidth="1"/>
    <col min="6" max="16384" width="10.83203125" style="1"/>
  </cols>
  <sheetData>
    <row r="1" spans="1:5" x14ac:dyDescent="0.2">
      <c r="A1" s="3" t="s">
        <v>11</v>
      </c>
      <c r="B1" s="3">
        <f>SUM(C2:C5)</f>
        <v>1096.74</v>
      </c>
      <c r="C1" s="1" t="s">
        <v>21</v>
      </c>
    </row>
    <row r="2" spans="1:5" x14ac:dyDescent="0.2">
      <c r="A2" s="2"/>
      <c r="B2" s="4" t="s">
        <v>9</v>
      </c>
      <c r="C2" s="1">
        <v>512</v>
      </c>
    </row>
    <row r="3" spans="1:5" x14ac:dyDescent="0.2">
      <c r="A3" s="2"/>
      <c r="B3" s="4" t="s">
        <v>10</v>
      </c>
      <c r="C3" s="1">
        <v>165.64</v>
      </c>
    </row>
    <row r="4" spans="1:5" x14ac:dyDescent="0.2">
      <c r="A4" s="2"/>
      <c r="B4" s="4" t="s">
        <v>12</v>
      </c>
    </row>
    <row r="5" spans="1:5" x14ac:dyDescent="0.2">
      <c r="A5" s="2"/>
      <c r="B5" s="4" t="s">
        <v>13</v>
      </c>
      <c r="C5" s="1">
        <v>419.1</v>
      </c>
    </row>
    <row r="6" spans="1:5" x14ac:dyDescent="0.2">
      <c r="A6" s="2"/>
      <c r="B6" s="4" t="s">
        <v>54</v>
      </c>
      <c r="C6" s="1" t="e">
        <f>SUM(#REF!)</f>
        <v>#REF!</v>
      </c>
    </row>
    <row r="7" spans="1:5" x14ac:dyDescent="0.2">
      <c r="C7" s="1" t="e">
        <f>SUM(C2:C6)</f>
        <v>#REF!</v>
      </c>
    </row>
    <row r="8" spans="1:5" x14ac:dyDescent="0.2">
      <c r="A8" s="5" t="s">
        <v>14</v>
      </c>
      <c r="B8" s="5">
        <f>SUM(C9:C11)</f>
        <v>4540</v>
      </c>
      <c r="C8" s="6" t="s">
        <v>19</v>
      </c>
      <c r="D8" s="6" t="s">
        <v>17</v>
      </c>
      <c r="E8" s="6" t="s">
        <v>18</v>
      </c>
    </row>
    <row r="9" spans="1:5" x14ac:dyDescent="0.2">
      <c r="B9" s="4" t="s">
        <v>15</v>
      </c>
      <c r="C9" s="1">
        <f>E9-D9</f>
        <v>4090</v>
      </c>
      <c r="D9" s="1">
        <v>210</v>
      </c>
      <c r="E9" s="1">
        <v>4300</v>
      </c>
    </row>
    <row r="10" spans="1:5" x14ac:dyDescent="0.2">
      <c r="B10" s="4" t="s">
        <v>16</v>
      </c>
      <c r="C10" s="1">
        <f>E10-D10</f>
        <v>0</v>
      </c>
      <c r="D10" s="1">
        <v>2000</v>
      </c>
      <c r="E10" s="1">
        <v>2000</v>
      </c>
    </row>
    <row r="11" spans="1:5" x14ac:dyDescent="0.2">
      <c r="B11" s="4" t="s">
        <v>20</v>
      </c>
      <c r="C11" s="1">
        <f>E11-D11</f>
        <v>450</v>
      </c>
      <c r="D11" s="1">
        <v>550</v>
      </c>
      <c r="E11" s="1">
        <v>1000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POSITION</vt:lpstr>
      <vt:lpstr>BUYS</vt:lpstr>
      <vt:lpstr>SALES</vt:lpstr>
      <vt:lpstr>FINANCES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Jimmy Daccache</dc:creator>
  <cp:lastModifiedBy>Jimmy Daccache</cp:lastModifiedBy>
  <dcterms:created xsi:type="dcterms:W3CDTF">2021-08-23T00:42:42Z</dcterms:created>
  <dcterms:modified xsi:type="dcterms:W3CDTF">2021-11-09T08:09:58Z</dcterms:modified>
</cp:coreProperties>
</file>